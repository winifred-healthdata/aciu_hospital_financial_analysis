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ACIU\"/>
    </mc:Choice>
  </mc:AlternateContent>
  <xr:revisionPtr revIDLastSave="0" documentId="8_{DD855E42-717C-4E76-95F3-FE89DF340C2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VENUE" sheetId="2" r:id="rId1"/>
    <sheet name="GEN.EXPENSES" sheetId="3" r:id="rId2"/>
    <sheet name="FIN. REPORT" sheetId="5" r:id="rId3"/>
    <sheet name="MAINTENANCE-OFFICE SUPPLIES" sheetId="7" r:id="rId4"/>
    <sheet name="MEDICATIONS" sheetId="8" r:id="rId5"/>
    <sheet name="SUMMARY" sheetId="10" r:id="rId6"/>
    <sheet name="LAB." sheetId="11" r:id="rId7"/>
  </sheets>
  <externalReferences>
    <externalReference r:id="rId8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5" i="11" l="1"/>
  <c r="B14" i="11"/>
  <c r="C16" i="11" s="1"/>
  <c r="C9" i="11"/>
  <c r="D29" i="8" l="1"/>
  <c r="E24" i="8"/>
  <c r="D30" i="8" s="1"/>
  <c r="E9" i="8"/>
  <c r="E5" i="8"/>
  <c r="E4" i="8"/>
  <c r="E3" i="8"/>
  <c r="E30" i="7"/>
  <c r="E21" i="7"/>
  <c r="C25" i="5"/>
  <c r="B14" i="5"/>
  <c r="B12" i="5"/>
  <c r="B7" i="5"/>
  <c r="B6" i="5"/>
  <c r="C9" i="5" s="1"/>
  <c r="C4" i="5"/>
  <c r="E16" i="3"/>
  <c r="E7" i="3"/>
  <c r="E6" i="3"/>
  <c r="E4" i="3"/>
  <c r="H53" i="2"/>
  <c r="B47" i="2"/>
  <c r="K45" i="2"/>
  <c r="B41" i="2"/>
  <c r="K35" i="2"/>
  <c r="J35" i="2"/>
  <c r="H35" i="2"/>
  <c r="F35" i="2"/>
  <c r="D35" i="2"/>
  <c r="C35" i="2"/>
  <c r="B35" i="2"/>
  <c r="G34" i="2"/>
  <c r="E34" i="2"/>
  <c r="G33" i="2"/>
  <c r="M33" i="2" s="1"/>
  <c r="G32" i="2"/>
  <c r="M32" i="2" s="1"/>
  <c r="I31" i="2"/>
  <c r="I35" i="2" s="1"/>
  <c r="G31" i="2"/>
  <c r="E31" i="2"/>
  <c r="G30" i="2"/>
  <c r="M30" i="2" s="1"/>
  <c r="Q29" i="2"/>
  <c r="G29" i="2"/>
  <c r="M29" i="2" s="1"/>
  <c r="S28" i="2"/>
  <c r="Q28" i="2"/>
  <c r="M28" i="2"/>
  <c r="G28" i="2"/>
  <c r="Q27" i="2"/>
  <c r="S27" i="2" s="1"/>
  <c r="G27" i="2"/>
  <c r="M27" i="2" s="1"/>
  <c r="S26" i="2"/>
  <c r="T26" i="2" s="1"/>
  <c r="Q26" i="2"/>
  <c r="M26" i="2"/>
  <c r="G26" i="2"/>
  <c r="G25" i="2"/>
  <c r="E25" i="2"/>
  <c r="M25" i="2" s="1"/>
  <c r="G24" i="2"/>
  <c r="E24" i="2"/>
  <c r="M24" i="2" s="1"/>
  <c r="G23" i="2"/>
  <c r="E23" i="2"/>
  <c r="M23" i="2" s="1"/>
  <c r="G22" i="2"/>
  <c r="M22" i="2" s="1"/>
  <c r="G21" i="2"/>
  <c r="E21" i="2"/>
  <c r="M21" i="2" s="1"/>
  <c r="G20" i="2"/>
  <c r="M20" i="2" s="1"/>
  <c r="M19" i="2"/>
  <c r="G19" i="2"/>
  <c r="G18" i="2"/>
  <c r="E18" i="2"/>
  <c r="G17" i="2"/>
  <c r="E17" i="2"/>
  <c r="M17" i="2" s="1"/>
  <c r="G16" i="2"/>
  <c r="M16" i="2" s="1"/>
  <c r="M15" i="2"/>
  <c r="G15" i="2"/>
  <c r="M14" i="2"/>
  <c r="G14" i="2"/>
  <c r="G13" i="2"/>
  <c r="M13" i="2" s="1"/>
  <c r="G12" i="2"/>
  <c r="M12" i="2" s="1"/>
  <c r="M11" i="2"/>
  <c r="G11" i="2"/>
  <c r="G10" i="2"/>
  <c r="E10" i="2"/>
  <c r="L9" i="2"/>
  <c r="G9" i="2"/>
  <c r="M9" i="2" s="1"/>
  <c r="G8" i="2"/>
  <c r="E8" i="2"/>
  <c r="E35" i="2" s="1"/>
  <c r="C4" i="11" s="1"/>
  <c r="C10" i="11" s="1"/>
  <c r="C17" i="11" s="1"/>
  <c r="C26" i="11" s="1"/>
  <c r="G7" i="2"/>
  <c r="E7" i="2"/>
  <c r="L6" i="2"/>
  <c r="G6" i="2"/>
  <c r="M6" i="2" s="1"/>
  <c r="G5" i="2"/>
  <c r="M5" i="2" s="1"/>
  <c r="G4" i="2"/>
  <c r="M4" i="2" s="1"/>
  <c r="M31" i="2" l="1"/>
  <c r="L35" i="2"/>
  <c r="M10" i="2"/>
  <c r="M18" i="2"/>
  <c r="M7" i="2"/>
  <c r="Q31" i="2"/>
  <c r="H52" i="2" s="1"/>
  <c r="F3" i="10" s="1"/>
  <c r="E39" i="3"/>
  <c r="M34" i="2"/>
  <c r="E18" i="8"/>
  <c r="D32" i="8"/>
  <c r="E26" i="8"/>
  <c r="C10" i="5"/>
  <c r="T27" i="2"/>
  <c r="T28" i="2" s="1"/>
  <c r="H44" i="2"/>
  <c r="M8" i="2"/>
  <c r="M35" i="2" s="1"/>
  <c r="P37" i="2" s="1"/>
  <c r="G35" i="2"/>
  <c r="H54" i="2" l="1"/>
  <c r="H56" i="2" s="1"/>
  <c r="D47" i="2"/>
  <c r="D42" i="2"/>
  <c r="D48" i="2"/>
  <c r="D38" i="2"/>
  <c r="D44" i="2"/>
  <c r="D41" i="2"/>
  <c r="D39" i="2"/>
  <c r="D45" i="2"/>
  <c r="D40" i="2"/>
  <c r="D46" i="2"/>
  <c r="D43" i="2"/>
  <c r="H42" i="2"/>
  <c r="H45" i="2" s="1"/>
  <c r="H47" i="2" s="1"/>
  <c r="F4" i="10"/>
  <c r="F5" i="10" s="1"/>
  <c r="F7" i="10" l="1"/>
  <c r="J55" i="2"/>
  <c r="F6" i="10" s="1"/>
  <c r="F12" i="10"/>
  <c r="F14" i="10" s="1"/>
  <c r="D49" i="2"/>
  <c r="B13" i="5" l="1"/>
  <c r="C16" i="5" s="1"/>
  <c r="C17" i="5" s="1"/>
  <c r="C26" i="5" s="1"/>
</calcChain>
</file>

<file path=xl/sharedStrings.xml><?xml version="1.0" encoding="utf-8"?>
<sst xmlns="http://schemas.openxmlformats.org/spreadsheetml/2006/main" count="197" uniqueCount="96">
  <si>
    <t>AMOUNT</t>
  </si>
  <si>
    <t>DATE</t>
  </si>
  <si>
    <t>CARD</t>
  </si>
  <si>
    <t>LAB</t>
  </si>
  <si>
    <t>BED</t>
  </si>
  <si>
    <t>DRUGS</t>
  </si>
  <si>
    <t>DELIVERY</t>
  </si>
  <si>
    <t>MENTAL</t>
  </si>
  <si>
    <t>DRESSING</t>
  </si>
  <si>
    <t>TOTAL</t>
  </si>
  <si>
    <t>%</t>
  </si>
  <si>
    <t>Invoice No.</t>
  </si>
  <si>
    <t>PARTICULARS</t>
  </si>
  <si>
    <t xml:space="preserve"> </t>
  </si>
  <si>
    <t>N</t>
  </si>
  <si>
    <t>Add Carriage</t>
  </si>
  <si>
    <t>COST OF SALES</t>
  </si>
  <si>
    <t>GROSS PROFIT</t>
  </si>
  <si>
    <t>EXPENSES</t>
  </si>
  <si>
    <t>SALARIES</t>
  </si>
  <si>
    <t>POWER/LIGHTING</t>
  </si>
  <si>
    <t>TRANSPORT</t>
  </si>
  <si>
    <t>NET PROFIT/LOSS</t>
  </si>
  <si>
    <t>SALES</t>
  </si>
  <si>
    <t>OTHER</t>
  </si>
  <si>
    <t>REVENUE (CASH)</t>
  </si>
  <si>
    <t>BALANCE</t>
  </si>
  <si>
    <t>B/F</t>
  </si>
  <si>
    <t>Add PURCHASES</t>
  </si>
  <si>
    <t>INCOME</t>
  </si>
  <si>
    <t>SUMMARY</t>
  </si>
  <si>
    <t>DEPOSITE INTO ACIU ACOUNT</t>
  </si>
  <si>
    <t>BAL B/D</t>
  </si>
  <si>
    <t>GRAND TOTAL</t>
  </si>
  <si>
    <t>SURGERY</t>
  </si>
  <si>
    <t>OFFICE SUPPLIES</t>
  </si>
  <si>
    <t>INDEGENT</t>
  </si>
  <si>
    <t>DEMENTIA</t>
  </si>
  <si>
    <t xml:space="preserve">WATER </t>
  </si>
  <si>
    <t>SURCHARGE</t>
  </si>
  <si>
    <t>WAGES</t>
  </si>
  <si>
    <t>ACTUAL NET PROFIT</t>
  </si>
  <si>
    <t>WATER</t>
  </si>
  <si>
    <t>P. REPORT</t>
  </si>
  <si>
    <t>P.REPORT</t>
  </si>
  <si>
    <t>FUEL</t>
  </si>
  <si>
    <t>PSYCHIATRICS</t>
  </si>
  <si>
    <t>TOTAL AMOUNT</t>
  </si>
  <si>
    <t>BAL. B/F</t>
  </si>
  <si>
    <t>OTHER POINTS TO NOTE</t>
  </si>
  <si>
    <t>REFUND</t>
  </si>
  <si>
    <t>medi</t>
  </si>
  <si>
    <t>carriage</t>
  </si>
  <si>
    <t>REVENUE ASSURANCE REPORT FOR AUGUST 2025</t>
  </si>
  <si>
    <t>13/8/2025</t>
  </si>
  <si>
    <t>14/8/2025</t>
  </si>
  <si>
    <t>15/8/2025</t>
  </si>
  <si>
    <t>16/8/2025</t>
  </si>
  <si>
    <t>17/8/2025</t>
  </si>
  <si>
    <t>18/8/2025</t>
  </si>
  <si>
    <t>19/8/2025</t>
  </si>
  <si>
    <t>20/8/2025</t>
  </si>
  <si>
    <t>21/8/2025</t>
  </si>
  <si>
    <t>22/8/2025</t>
  </si>
  <si>
    <t>23/8/2025</t>
  </si>
  <si>
    <t>24/8/2025</t>
  </si>
  <si>
    <t>25/8/2025</t>
  </si>
  <si>
    <t>26/8/2025</t>
  </si>
  <si>
    <t>27/8/2025</t>
  </si>
  <si>
    <t>28/8/2025</t>
  </si>
  <si>
    <t>29/8/2025</t>
  </si>
  <si>
    <t>30/8/2025</t>
  </si>
  <si>
    <t>31/8/2025</t>
  </si>
  <si>
    <t xml:space="preserve">STORE PURCHASE:MEDICINE </t>
  </si>
  <si>
    <t>EKWUEME</t>
  </si>
  <si>
    <t>GRACE &amp; MERCY</t>
  </si>
  <si>
    <t>STORE PURCHASE:MEDICINE (LOCAL)</t>
  </si>
  <si>
    <t>CARRIAGE</t>
  </si>
  <si>
    <t>SUCCSSLINK</t>
  </si>
  <si>
    <t>BLESSED MEKUS</t>
  </si>
  <si>
    <t>WAYBILL</t>
  </si>
  <si>
    <t>HERBICIDES</t>
  </si>
  <si>
    <t>ENCINE OIL</t>
  </si>
  <si>
    <t>22/9/2024</t>
  </si>
  <si>
    <t>STATEMENT OF FINANCIAL PERFORMANCE FOR THE MONTH ENDED 31/08/2025</t>
  </si>
  <si>
    <t xml:space="preserve"> Stock @ 1/8/2025</t>
  </si>
  <si>
    <t>Less STOCK AS AT 31/8/2025</t>
  </si>
  <si>
    <t>BLOOMS</t>
  </si>
  <si>
    <t>ACTUAL NET LOSS</t>
  </si>
  <si>
    <t>TOTAL CASH FOR THE MONTH OF AUGUST 2025</t>
  </si>
  <si>
    <t xml:space="preserve">WE STILL HAVE STOCK (MEDICATION) VALUED N1,579,450 AT COST PRICE. </t>
  </si>
  <si>
    <t>CASH DEPOSIT  IS N1,024,050</t>
  </si>
  <si>
    <t>CASH EARNED THROUGH INDEGENT,DELIVERY SUBSIDY, DEMENTIA AND BLOOM SCHOLARS N222,000</t>
  </si>
  <si>
    <t>TOTAT CASH IN BANK N1,853,550</t>
  </si>
  <si>
    <t>BLOOMS SCHOLARS</t>
  </si>
  <si>
    <t>STATEMENT OF FINANCIAL PERFORMANCE FOR THE MONTH ENDED 31/8/2025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</si>
</sst>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4" fontId="0" fillId="0" borderId="0" xfId="0" applyNumberFormat="1"/>
    <xf numFmtId="0" fontId="0" fillId="0" borderId="1" xfId="0" applyBorder="1"/>
    <xf numFmtId="4" fontId="0" fillId="0" borderId="2" xfId="0" applyNumberFormat="1" applyBorder="1"/>
    <xf numFmtId="4" fontId="3" fillId="0" borderId="3" xfId="0" applyNumberFormat="1" applyFont="1" applyBorder="1"/>
    <xf numFmtId="4" fontId="3" fillId="0" borderId="0" xfId="0" applyNumberFormat="1" applyFont="1"/>
    <xf numFmtId="0" fontId="4" fillId="0" borderId="0" xfId="0" applyFont="1"/>
    <xf numFmtId="0" fontId="2" fillId="0" borderId="0" xfId="0" applyFont="1"/>
    <xf numFmtId="0" fontId="2" fillId="0" borderId="0" xfId="0" applyFont="1" applyAlignment="1">
      <alignment horizontal="right"/>
    </xf>
    <xf numFmtId="14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0" fontId="1" fillId="2" borderId="0" xfId="0" applyFont="1" applyFill="1"/>
    <xf numFmtId="0" fontId="2" fillId="0" borderId="4" xfId="0" applyFont="1" applyBorder="1"/>
    <xf numFmtId="0" fontId="5" fillId="0" borderId="0" xfId="0" applyFont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 wrapText="1"/>
    </xf>
    <xf numFmtId="164" fontId="5" fillId="0" borderId="0" xfId="0" applyNumberFormat="1" applyFont="1"/>
    <xf numFmtId="0" fontId="0" fillId="0" borderId="0" xfId="0" applyAlignment="1">
      <alignment horizontal="right" wrapText="1"/>
    </xf>
    <xf numFmtId="0" fontId="0" fillId="0" borderId="0" xfId="0" applyAlignment="1">
      <alignment horizontal="right"/>
    </xf>
    <xf numFmtId="0" fontId="0" fillId="0" borderId="5" xfId="0" applyBorder="1"/>
    <xf numFmtId="0" fontId="0" fillId="0" borderId="5" xfId="0" applyBorder="1" applyAlignment="1">
      <alignment wrapText="1"/>
    </xf>
    <xf numFmtId="0" fontId="0" fillId="3" borderId="5" xfId="0" applyFill="1" applyBorder="1"/>
    <xf numFmtId="14" fontId="0" fillId="0" borderId="5" xfId="0" applyNumberFormat="1" applyBorder="1" applyAlignment="1">
      <alignment horizontal="left" wrapText="1"/>
    </xf>
    <xf numFmtId="0" fontId="0" fillId="3" borderId="5" xfId="0" applyFill="1" applyBorder="1" applyAlignment="1">
      <alignment wrapText="1"/>
    </xf>
    <xf numFmtId="0" fontId="1" fillId="0" borderId="5" xfId="0" applyFont="1" applyBorder="1" applyAlignment="1">
      <alignment horizontal="right"/>
    </xf>
    <xf numFmtId="164" fontId="0" fillId="0" borderId="0" xfId="0" applyNumberFormat="1"/>
    <xf numFmtId="0" fontId="1" fillId="3" borderId="0" xfId="0" applyFont="1" applyFill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3" fillId="0" borderId="4" xfId="0" applyFont="1" applyBorder="1"/>
    <xf numFmtId="0" fontId="3" fillId="0" borderId="0" xfId="0" applyFont="1" applyAlignment="1">
      <alignment horizontal="left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AppData/Local/Packages/5319275A.WhatsAppDesktop_cv1g1gvanyjgm/LocalState/sessions/5B77C035E29A0263AA816BFC1CE50C0A6F6F682A/transfers/2026-35/ACIU-NA%20MEDICAL%20COMPLEX%20MONTHLY%20REPORT%20FOR%20AUGUST%202025%20-%20TEMP..xlsx" TargetMode="External"/><Relationship Id="rId2" Type="http://schemas.microsoft.com/office/2019/04/relationships/externalLinkLongPath" Target="/Users/DELL/AppData/Local/Packages/5319275A.WhatsAppDesktop_cv1g1gvanyjgm/LocalState/sessions/5B77C035E29A0263AA816BFC1CE50C0A6F6F682A/transfers/2026-35/ACIU-NA%20MEDICAL%20COMPLEX%20MONTHLY%20REPORT%20FOR%20AUGUST%202025%20-%20TEMP..xlsx?4B14CCBC" TargetMode="External"/><Relationship Id="rId1" Type="http://schemas.openxmlformats.org/officeDocument/2006/relationships/externalLinkPath" Target="file:///\\4B14CCBC\ACIU-NA%20MEDICAL%20COMPLEX%20MONTHLY%20REPORT%20FOR%20AUGUST%202025%20-%20TEMP.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3"/>
    </xxl21:alternateUrls>
    <sheetNames>
      <sheetName val="STOCK"/>
      <sheetName val="REVENUE"/>
      <sheetName val="IMPREST"/>
      <sheetName val="EXPENSE GROUPING"/>
      <sheetName val="FIN. REPORT"/>
      <sheetName val="Sheet3"/>
      <sheetName val="MAINTENANCE-OFFICE SUPPLIES"/>
      <sheetName val="MEDICATIONS"/>
      <sheetName val="Sheet1"/>
      <sheetName val="CLOSING STOCK"/>
      <sheetName val="Sheet2"/>
    </sheetNames>
    <sheetDataSet>
      <sheetData sheetId="0"/>
      <sheetData sheetId="1">
        <row r="35">
          <cell r="M35">
            <v>2877600</v>
          </cell>
        </row>
      </sheetData>
      <sheetData sheetId="2">
        <row r="39">
          <cell r="E39">
            <v>1326250</v>
          </cell>
        </row>
      </sheetData>
      <sheetData sheetId="3"/>
      <sheetData sheetId="4"/>
      <sheetData sheetId="5"/>
      <sheetData sheetId="6">
        <row r="21">
          <cell r="E21">
            <v>30000</v>
          </cell>
        </row>
        <row r="30">
          <cell r="E30">
            <v>56000</v>
          </cell>
        </row>
      </sheetData>
      <sheetData sheetId="7">
        <row r="18">
          <cell r="E18">
            <v>1217750</v>
          </cell>
        </row>
        <row r="24">
          <cell r="E24">
            <v>22500</v>
          </cell>
        </row>
      </sheetData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6"/>
  <sheetViews>
    <sheetView tabSelected="1" workbookViewId="0">
      <selection activeCell="P38" sqref="P38"/>
    </sheetView>
  </sheetViews>
  <sheetFormatPr defaultColWidth="9.109375" defaultRowHeight="15.6" x14ac:dyDescent="0.3"/>
  <cols>
    <col min="1" max="1" width="11.6640625" style="13" customWidth="1"/>
    <col min="2" max="2" width="10.33203125" style="1" customWidth="1"/>
    <col min="3" max="3" width="12.33203125" style="1" customWidth="1"/>
    <col min="4" max="6" width="9.109375" style="1"/>
    <col min="7" max="7" width="11.33203125" style="1" bestFit="1" customWidth="1"/>
    <col min="8" max="10" width="9.109375" style="1"/>
    <col min="11" max="11" width="13.44140625" style="1" customWidth="1"/>
    <col min="12" max="16384" width="9.109375" style="1"/>
  </cols>
  <sheetData>
    <row r="1" spans="1:14" s="10" customFormat="1" ht="17.25" customHeight="1" x14ac:dyDescent="0.3">
      <c r="A1" s="35" t="s">
        <v>53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</row>
    <row r="2" spans="1:14" s="10" customFormat="1" x14ac:dyDescent="0.3">
      <c r="A2" s="35"/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</row>
    <row r="3" spans="1:14" s="10" customFormat="1" x14ac:dyDescent="0.3">
      <c r="A3" s="11" t="s">
        <v>1</v>
      </c>
      <c r="B3" s="10" t="s">
        <v>2</v>
      </c>
      <c r="C3" s="10" t="s">
        <v>39</v>
      </c>
      <c r="D3" s="10" t="s">
        <v>34</v>
      </c>
      <c r="E3" s="10" t="s">
        <v>3</v>
      </c>
      <c r="F3" s="10" t="s">
        <v>4</v>
      </c>
      <c r="G3" s="10" t="s">
        <v>5</v>
      </c>
      <c r="H3" s="10" t="s">
        <v>6</v>
      </c>
      <c r="I3" s="10" t="s">
        <v>7</v>
      </c>
      <c r="J3" s="10" t="s">
        <v>38</v>
      </c>
      <c r="K3" s="10" t="s">
        <v>43</v>
      </c>
      <c r="L3" s="10" t="s">
        <v>8</v>
      </c>
      <c r="M3" s="10" t="s">
        <v>9</v>
      </c>
    </row>
    <row r="4" spans="1:14" x14ac:dyDescent="0.3">
      <c r="A4" s="12">
        <v>45665</v>
      </c>
      <c r="G4" s="1">
        <f>28700+44000+11000+3000+15000+35000+20000+34000</f>
        <v>190700</v>
      </c>
      <c r="M4" s="1">
        <f>B4+C4+D4+E4+F4+G4+H4+I4+J4+K4+L4</f>
        <v>190700</v>
      </c>
    </row>
    <row r="5" spans="1:14" x14ac:dyDescent="0.3">
      <c r="A5" s="12">
        <v>45696</v>
      </c>
      <c r="G5" s="1">
        <f>12200+17200+10000+18500+11500+9700+21200+2000+1000</f>
        <v>103300</v>
      </c>
      <c r="M5" s="1">
        <f t="shared" ref="M5:M34" si="0">B5+C5+D5+E5+F5+G5+H5+I5+J5+K5+L5</f>
        <v>103300</v>
      </c>
    </row>
    <row r="6" spans="1:14" x14ac:dyDescent="0.3">
      <c r="A6" s="12">
        <v>45724</v>
      </c>
      <c r="G6" s="1">
        <f>3000+5200+21200</f>
        <v>29400</v>
      </c>
      <c r="L6" s="1">
        <f>2000</f>
        <v>2000</v>
      </c>
      <c r="M6" s="1">
        <f t="shared" si="0"/>
        <v>31400</v>
      </c>
    </row>
    <row r="7" spans="1:14" x14ac:dyDescent="0.3">
      <c r="A7" s="12">
        <v>45755</v>
      </c>
      <c r="E7" s="1">
        <f>2000</f>
        <v>2000</v>
      </c>
      <c r="G7" s="1">
        <f>2800</f>
        <v>2800</v>
      </c>
      <c r="M7" s="1">
        <f t="shared" si="0"/>
        <v>4800</v>
      </c>
    </row>
    <row r="8" spans="1:14" x14ac:dyDescent="0.3">
      <c r="A8" s="12">
        <v>45785</v>
      </c>
      <c r="E8" s="1">
        <f>7000+8000</f>
        <v>15000</v>
      </c>
      <c r="G8" s="1">
        <f>28000+6500+5500+4500</f>
        <v>44500</v>
      </c>
      <c r="M8" s="1">
        <f t="shared" si="0"/>
        <v>59500</v>
      </c>
    </row>
    <row r="9" spans="1:14" x14ac:dyDescent="0.3">
      <c r="A9" s="12">
        <v>45816</v>
      </c>
      <c r="G9" s="1">
        <f>18000+10600</f>
        <v>28600</v>
      </c>
      <c r="L9" s="1">
        <f>15000</f>
        <v>15000</v>
      </c>
      <c r="M9" s="1">
        <f t="shared" si="0"/>
        <v>43600</v>
      </c>
    </row>
    <row r="10" spans="1:14" x14ac:dyDescent="0.3">
      <c r="A10" s="12">
        <v>45846</v>
      </c>
      <c r="E10" s="1">
        <f>9000+2000+2000+10000</f>
        <v>23000</v>
      </c>
      <c r="G10" s="1">
        <f>16200+2500+12000+81800+19200</f>
        <v>131700</v>
      </c>
      <c r="M10" s="1">
        <f t="shared" si="0"/>
        <v>154700</v>
      </c>
    </row>
    <row r="11" spans="1:14" x14ac:dyDescent="0.3">
      <c r="A11" s="12">
        <v>45877</v>
      </c>
      <c r="G11" s="1">
        <f>18500+27000+20000+6000+11200+10000+10000+6200+8500+10000</f>
        <v>127400</v>
      </c>
      <c r="M11" s="1">
        <f t="shared" si="0"/>
        <v>127400</v>
      </c>
    </row>
    <row r="12" spans="1:14" x14ac:dyDescent="0.3">
      <c r="A12" s="12">
        <v>45908</v>
      </c>
      <c r="G12" s="1">
        <f>7000+1000+18400+3000</f>
        <v>29400</v>
      </c>
      <c r="M12" s="1">
        <f t="shared" si="0"/>
        <v>29400</v>
      </c>
    </row>
    <row r="13" spans="1:14" x14ac:dyDescent="0.3">
      <c r="A13" s="12">
        <v>45938</v>
      </c>
      <c r="G13" s="1">
        <f>44000+1000+82500+5000+10000+5000+5200</f>
        <v>152700</v>
      </c>
      <c r="M13" s="1">
        <f t="shared" si="0"/>
        <v>152700</v>
      </c>
    </row>
    <row r="14" spans="1:14" x14ac:dyDescent="0.3">
      <c r="A14" s="12">
        <v>45969</v>
      </c>
      <c r="G14" s="1">
        <f>17700+9000+5000+29000+5500+3000</f>
        <v>69200</v>
      </c>
      <c r="M14" s="1">
        <f t="shared" si="0"/>
        <v>69200</v>
      </c>
    </row>
    <row r="15" spans="1:14" x14ac:dyDescent="0.3">
      <c r="A15" s="12">
        <v>45999</v>
      </c>
      <c r="G15" s="1">
        <f>4000+9300+5000+5000+6000+27000+21450+22200+20000+18500+13000+7000</f>
        <v>158450</v>
      </c>
      <c r="M15" s="1">
        <f t="shared" si="0"/>
        <v>158450</v>
      </c>
    </row>
    <row r="16" spans="1:14" x14ac:dyDescent="0.3">
      <c r="A16" s="12" t="s">
        <v>54</v>
      </c>
      <c r="G16" s="1">
        <f>8000+1000+15200+200000+200000+38000</f>
        <v>462200</v>
      </c>
      <c r="M16" s="1">
        <f t="shared" si="0"/>
        <v>462200</v>
      </c>
    </row>
    <row r="17" spans="1:20" x14ac:dyDescent="0.3">
      <c r="A17" s="12" t="s">
        <v>55</v>
      </c>
      <c r="E17" s="1">
        <f>11000+10000+8000+10000</f>
        <v>39000</v>
      </c>
      <c r="G17" s="1">
        <f>2000+3500+7000+8000+24000+11000+4000</f>
        <v>59500</v>
      </c>
      <c r="M17" s="1">
        <f t="shared" si="0"/>
        <v>98500</v>
      </c>
    </row>
    <row r="18" spans="1:20" x14ac:dyDescent="0.3">
      <c r="A18" s="12" t="s">
        <v>56</v>
      </c>
      <c r="E18" s="1">
        <f>10000</f>
        <v>10000</v>
      </c>
      <c r="G18" s="1">
        <f>7500+13000+28300+10000+18000</f>
        <v>76800</v>
      </c>
      <c r="M18" s="1">
        <f t="shared" si="0"/>
        <v>86800</v>
      </c>
    </row>
    <row r="19" spans="1:20" x14ac:dyDescent="0.3">
      <c r="A19" s="12" t="s">
        <v>57</v>
      </c>
      <c r="G19" s="1">
        <f>11200+4500</f>
        <v>15700</v>
      </c>
      <c r="M19" s="1">
        <f t="shared" si="0"/>
        <v>15700</v>
      </c>
    </row>
    <row r="20" spans="1:20" x14ac:dyDescent="0.3">
      <c r="A20" s="12" t="s">
        <v>58</v>
      </c>
      <c r="G20" s="1">
        <f>15000+15000+34250</f>
        <v>64250</v>
      </c>
      <c r="M20" s="1">
        <f t="shared" si="0"/>
        <v>64250</v>
      </c>
    </row>
    <row r="21" spans="1:20" x14ac:dyDescent="0.3">
      <c r="A21" s="13" t="s">
        <v>59</v>
      </c>
      <c r="E21" s="1">
        <f>18000</f>
        <v>18000</v>
      </c>
      <c r="G21" s="1">
        <f>3800+5000+2000+10000+800</f>
        <v>21600</v>
      </c>
      <c r="M21" s="1">
        <f t="shared" si="0"/>
        <v>39600</v>
      </c>
    </row>
    <row r="22" spans="1:20" x14ac:dyDescent="0.3">
      <c r="A22" s="13" t="s">
        <v>60</v>
      </c>
      <c r="G22" s="1">
        <f>2800+1000+6000+12000+33200+2500+19300</f>
        <v>76800</v>
      </c>
      <c r="M22" s="1">
        <f t="shared" si="0"/>
        <v>76800</v>
      </c>
    </row>
    <row r="23" spans="1:20" x14ac:dyDescent="0.3">
      <c r="A23" s="13" t="s">
        <v>61</v>
      </c>
      <c r="E23" s="1">
        <f>10000</f>
        <v>10000</v>
      </c>
      <c r="G23" s="1">
        <f>14200+3000+10000+31000+5000</f>
        <v>63200</v>
      </c>
      <c r="M23" s="1">
        <f t="shared" si="0"/>
        <v>73200</v>
      </c>
    </row>
    <row r="24" spans="1:20" x14ac:dyDescent="0.3">
      <c r="A24" s="13" t="s">
        <v>62</v>
      </c>
      <c r="E24" s="1">
        <f>1000+7000+9000+5000</f>
        <v>22000</v>
      </c>
      <c r="G24" s="1">
        <f>7600+7500+39200+20000+1000+5000+50000</f>
        <v>130300</v>
      </c>
      <c r="M24" s="1">
        <f t="shared" si="0"/>
        <v>152300</v>
      </c>
    </row>
    <row r="25" spans="1:20" x14ac:dyDescent="0.3">
      <c r="A25" s="13" t="s">
        <v>63</v>
      </c>
      <c r="E25" s="1">
        <f>10000+4000</f>
        <v>14000</v>
      </c>
      <c r="G25" s="1">
        <f>21300+18000+10500+18600+5000</f>
        <v>73400</v>
      </c>
      <c r="M25" s="1">
        <f t="shared" si="0"/>
        <v>87400</v>
      </c>
    </row>
    <row r="26" spans="1:20" x14ac:dyDescent="0.3">
      <c r="A26" s="13" t="s">
        <v>64</v>
      </c>
      <c r="G26" s="1">
        <f>10500+26300+1000</f>
        <v>37800</v>
      </c>
      <c r="M26" s="1">
        <f t="shared" si="0"/>
        <v>37800</v>
      </c>
      <c r="Q26" s="1">
        <f>11000+44000+3000+28700+35000+20000+34000+17200+12200+21200+5200+28000+12000+10000+19200+11200+8500+20000+29000+27000+7000+44000+82500</f>
        <v>529900</v>
      </c>
      <c r="S26" s="1">
        <f>253550-102250</f>
        <v>151300</v>
      </c>
      <c r="T26" s="1">
        <f>S26-231530-70300</f>
        <v>-150530</v>
      </c>
    </row>
    <row r="27" spans="1:20" x14ac:dyDescent="0.3">
      <c r="A27" s="13" t="s">
        <v>65</v>
      </c>
      <c r="G27" s="1">
        <f>8000+4500+30000+13450</f>
        <v>55950</v>
      </c>
      <c r="M27" s="1">
        <f t="shared" si="0"/>
        <v>55950</v>
      </c>
      <c r="Q27" s="1">
        <f>5200+5000+17700+3000+200000+200000+21450+22200+18500+13000+38000+10000+11000+11000+7000+16000+10000+3500</f>
        <v>612550</v>
      </c>
      <c r="S27" s="1">
        <f>470200-Q27</f>
        <v>-142350</v>
      </c>
      <c r="T27" s="1">
        <f>S27+T26+24450</f>
        <v>-268430</v>
      </c>
    </row>
    <row r="28" spans="1:20" x14ac:dyDescent="0.3">
      <c r="A28" s="13" t="s">
        <v>66</v>
      </c>
      <c r="G28" s="1">
        <f>5000+4000+6000</f>
        <v>15000</v>
      </c>
      <c r="M28" s="1">
        <f t="shared" si="0"/>
        <v>15000</v>
      </c>
      <c r="Q28" s="1">
        <f>24000+18000+13000+28300+11200+4500+15000+15000+18000+800+2000+19300+33200+10000+14200+50000+7000+9000+20000+21300</f>
        <v>333800</v>
      </c>
      <c r="S28" s="1">
        <f>546900-Q28</f>
        <v>213100</v>
      </c>
      <c r="T28" s="1">
        <f>S28+T27-166800</f>
        <v>-222130</v>
      </c>
    </row>
    <row r="29" spans="1:20" x14ac:dyDescent="0.3">
      <c r="A29" s="13" t="s">
        <v>67</v>
      </c>
      <c r="G29" s="1">
        <f>1200+5200+8000</f>
        <v>14400</v>
      </c>
      <c r="M29" s="1">
        <f t="shared" si="0"/>
        <v>14400</v>
      </c>
      <c r="Q29" s="1">
        <f>18000+10500+26300+8000+10500+8000+50000+55000+4200+25000+20000+6000+10000+18400+37400+37000+16000+17000</f>
        <v>377300</v>
      </c>
    </row>
    <row r="30" spans="1:20" x14ac:dyDescent="0.3">
      <c r="A30" s="13" t="s">
        <v>68</v>
      </c>
      <c r="G30" s="1">
        <f>1000+55000+7450+8500+5000+4000+17000+50000+4200+25000+20000</f>
        <v>197150</v>
      </c>
      <c r="M30" s="1">
        <f t="shared" si="0"/>
        <v>197150</v>
      </c>
    </row>
    <row r="31" spans="1:20" x14ac:dyDescent="0.3">
      <c r="A31" s="13" t="s">
        <v>69</v>
      </c>
      <c r="E31" s="1">
        <f>6000</f>
        <v>6000</v>
      </c>
      <c r="G31" s="1">
        <f>48400+10000+2000+10000+18200+10000</f>
        <v>98600</v>
      </c>
      <c r="I31" s="1">
        <f>32000</f>
        <v>32000</v>
      </c>
      <c r="M31" s="1">
        <f t="shared" si="0"/>
        <v>136600</v>
      </c>
      <c r="Q31" s="1">
        <f>SUM(Q25:Q30)</f>
        <v>1853550</v>
      </c>
    </row>
    <row r="32" spans="1:20" x14ac:dyDescent="0.3">
      <c r="A32" s="13" t="s">
        <v>70</v>
      </c>
      <c r="G32" s="1">
        <f>1000+5000+18400</f>
        <v>24400</v>
      </c>
      <c r="M32" s="1">
        <f t="shared" si="0"/>
        <v>24400</v>
      </c>
    </row>
    <row r="33" spans="1:16" x14ac:dyDescent="0.3">
      <c r="A33" s="13" t="s">
        <v>71</v>
      </c>
      <c r="G33" s="1">
        <f>37400</f>
        <v>37400</v>
      </c>
      <c r="M33" s="1">
        <f t="shared" si="0"/>
        <v>37400</v>
      </c>
    </row>
    <row r="34" spans="1:16" x14ac:dyDescent="0.3">
      <c r="A34" s="13" t="s">
        <v>72</v>
      </c>
      <c r="E34" s="1">
        <f>1000</f>
        <v>1000</v>
      </c>
      <c r="G34" s="1">
        <f>16000+37000+17000+6000</f>
        <v>76000</v>
      </c>
      <c r="M34" s="1">
        <f t="shared" si="0"/>
        <v>77000</v>
      </c>
    </row>
    <row r="35" spans="1:16" x14ac:dyDescent="0.3">
      <c r="B35" s="1">
        <f>SUM(B4:B34)</f>
        <v>0</v>
      </c>
      <c r="C35" s="1">
        <f>SUM(C4:C34)</f>
        <v>0</v>
      </c>
      <c r="D35" s="1">
        <f t="shared" ref="D35:L35" si="1">SUM(D4:D34)</f>
        <v>0</v>
      </c>
      <c r="E35" s="14">
        <f t="shared" si="1"/>
        <v>160000</v>
      </c>
      <c r="F35" s="1">
        <f t="shared" si="1"/>
        <v>0</v>
      </c>
      <c r="G35" s="14">
        <f t="shared" si="1"/>
        <v>2668600</v>
      </c>
      <c r="H35" s="14">
        <f t="shared" si="1"/>
        <v>0</v>
      </c>
      <c r="I35" s="14">
        <f t="shared" si="1"/>
        <v>32000</v>
      </c>
      <c r="J35" s="14">
        <f t="shared" si="1"/>
        <v>0</v>
      </c>
      <c r="K35" s="29">
        <f>SUM(K4:K34)</f>
        <v>0</v>
      </c>
      <c r="L35" s="14">
        <f t="shared" si="1"/>
        <v>17000</v>
      </c>
      <c r="M35" s="10">
        <f>SUM(M4:M34)</f>
        <v>2877600</v>
      </c>
    </row>
    <row r="37" spans="1:16" x14ac:dyDescent="0.3">
      <c r="D37" s="1" t="s">
        <v>10</v>
      </c>
      <c r="P37" s="1">
        <f>M35-Q31</f>
        <v>1024050</v>
      </c>
    </row>
    <row r="38" spans="1:16" x14ac:dyDescent="0.3">
      <c r="B38" s="1" t="s">
        <v>2</v>
      </c>
      <c r="D38" s="1">
        <f>B35/M35*100</f>
        <v>0</v>
      </c>
    </row>
    <row r="39" spans="1:16" x14ac:dyDescent="0.3">
      <c r="B39" s="1" t="s">
        <v>39</v>
      </c>
      <c r="D39" s="1">
        <f>C35/M35*100</f>
        <v>0</v>
      </c>
    </row>
    <row r="40" spans="1:16" x14ac:dyDescent="0.3">
      <c r="B40" s="1" t="s">
        <v>34</v>
      </c>
      <c r="D40" s="1">
        <f>D35/M35*100</f>
        <v>0</v>
      </c>
      <c r="H40" s="10" t="s">
        <v>14</v>
      </c>
    </row>
    <row r="41" spans="1:16" x14ac:dyDescent="0.3">
      <c r="B41" s="1" t="str">
        <f>E3</f>
        <v>LAB</v>
      </c>
      <c r="D41" s="1">
        <f>E35/M35*100</f>
        <v>5.5601890464275785</v>
      </c>
    </row>
    <row r="42" spans="1:16" x14ac:dyDescent="0.3">
      <c r="B42" s="1" t="s">
        <v>4</v>
      </c>
      <c r="D42" s="1">
        <f>F35/M35*100</f>
        <v>0</v>
      </c>
      <c r="G42" s="14" t="s">
        <v>23</v>
      </c>
      <c r="H42" s="1">
        <f>E35+G35+H35+I35+L35+J35</f>
        <v>2877600</v>
      </c>
    </row>
    <row r="43" spans="1:16" x14ac:dyDescent="0.3">
      <c r="B43" s="1" t="s">
        <v>5</v>
      </c>
      <c r="D43" s="1">
        <f>G35/M35*100</f>
        <v>92.737003058103966</v>
      </c>
    </row>
    <row r="44" spans="1:16" x14ac:dyDescent="0.3">
      <c r="B44" s="1" t="s">
        <v>6</v>
      </c>
      <c r="D44" s="1">
        <f>H35/M35*100</f>
        <v>0</v>
      </c>
      <c r="F44" s="1" t="s">
        <v>24</v>
      </c>
      <c r="G44" s="1" t="s">
        <v>29</v>
      </c>
      <c r="H44" s="1">
        <f>B35+F35+D35+C35+K35</f>
        <v>0</v>
      </c>
    </row>
    <row r="45" spans="1:16" x14ac:dyDescent="0.3">
      <c r="B45" s="1" t="s">
        <v>7</v>
      </c>
      <c r="D45" s="1">
        <f>I35/M35*100</f>
        <v>1.1120378092855159</v>
      </c>
      <c r="G45" s="1" t="s">
        <v>9</v>
      </c>
      <c r="H45" s="10">
        <f>SUM(H42:H44)</f>
        <v>2877600</v>
      </c>
      <c r="K45" s="1">
        <f>H46+432300-306500</f>
        <v>425885</v>
      </c>
    </row>
    <row r="46" spans="1:16" ht="16.2" thickBot="1" x14ac:dyDescent="0.35">
      <c r="B46" s="1" t="s">
        <v>42</v>
      </c>
      <c r="D46" s="1">
        <f>J35/M35*100</f>
        <v>0</v>
      </c>
      <c r="F46" s="1" t="s">
        <v>26</v>
      </c>
      <c r="G46" s="1" t="s">
        <v>27</v>
      </c>
      <c r="H46" s="1">
        <v>300085</v>
      </c>
    </row>
    <row r="47" spans="1:16" ht="16.2" thickBot="1" x14ac:dyDescent="0.35">
      <c r="B47" s="1" t="str">
        <f>L3</f>
        <v>DRESSING</v>
      </c>
      <c r="D47" s="1">
        <f>L35/M35*100</f>
        <v>0.59077008618293025</v>
      </c>
      <c r="F47" s="1" t="s">
        <v>9</v>
      </c>
      <c r="G47" s="1" t="s">
        <v>0</v>
      </c>
      <c r="H47" s="15">
        <f>SUM(H45:H46)</f>
        <v>3177685</v>
      </c>
    </row>
    <row r="48" spans="1:16" x14ac:dyDescent="0.3">
      <c r="B48" s="1" t="s">
        <v>44</v>
      </c>
      <c r="D48" s="1">
        <f>K35/M35*100</f>
        <v>0</v>
      </c>
      <c r="H48" s="10"/>
    </row>
    <row r="49" spans="2:10" x14ac:dyDescent="0.3">
      <c r="D49" s="1">
        <f>SUM(D38:D48)</f>
        <v>99.999999999999986</v>
      </c>
    </row>
    <row r="50" spans="2:10" x14ac:dyDescent="0.3">
      <c r="D50" s="1" t="s">
        <v>13</v>
      </c>
    </row>
    <row r="51" spans="2:10" x14ac:dyDescent="0.3">
      <c r="B51" s="1" t="s">
        <v>30</v>
      </c>
    </row>
    <row r="52" spans="2:10" x14ac:dyDescent="0.3">
      <c r="D52" s="1" t="s">
        <v>31</v>
      </c>
      <c r="H52" s="1">
        <f>Q31</f>
        <v>1853550</v>
      </c>
    </row>
    <row r="53" spans="2:10" x14ac:dyDescent="0.3">
      <c r="D53" s="1" t="s">
        <v>18</v>
      </c>
      <c r="H53" s="1">
        <f>[1]IMPREST!E39</f>
        <v>1326250</v>
      </c>
    </row>
    <row r="54" spans="2:10" x14ac:dyDescent="0.3">
      <c r="D54" s="1" t="s">
        <v>9</v>
      </c>
      <c r="H54" s="1">
        <f>H52+H53</f>
        <v>3179800</v>
      </c>
    </row>
    <row r="55" spans="2:10" ht="16.2" thickBot="1" x14ac:dyDescent="0.35">
      <c r="D55" s="1" t="s">
        <v>32</v>
      </c>
      <c r="J55" s="1">
        <f>H47-H54</f>
        <v>-2115</v>
      </c>
    </row>
    <row r="56" spans="2:10" ht="16.2" thickBot="1" x14ac:dyDescent="0.35">
      <c r="D56" s="1" t="s">
        <v>33</v>
      </c>
      <c r="H56" s="15">
        <f>H54+H55</f>
        <v>3179800</v>
      </c>
    </row>
  </sheetData>
  <mergeCells count="1">
    <mergeCell ref="A1:N2"/>
  </mergeCells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0"/>
  <sheetViews>
    <sheetView workbookViewId="0">
      <selection activeCell="L12" sqref="L12"/>
    </sheetView>
  </sheetViews>
  <sheetFormatPr defaultRowHeight="15.6" x14ac:dyDescent="0.3"/>
  <cols>
    <col min="1" max="1" width="13" style="13" customWidth="1"/>
    <col min="2" max="2" width="37" style="3" customWidth="1"/>
    <col min="3" max="3" width="18.44140625" style="3" customWidth="1"/>
    <col min="4" max="4" width="12.5546875" customWidth="1"/>
  </cols>
  <sheetData>
    <row r="1" spans="1:6" ht="14.25" customHeight="1" x14ac:dyDescent="0.3">
      <c r="A1" s="22" t="s">
        <v>1</v>
      </c>
      <c r="B1" s="23" t="s">
        <v>12</v>
      </c>
      <c r="C1" s="23"/>
      <c r="D1" s="22" t="s">
        <v>11</v>
      </c>
      <c r="E1" s="22" t="s">
        <v>0</v>
      </c>
      <c r="F1" s="22"/>
    </row>
    <row r="2" spans="1:6" x14ac:dyDescent="0.3">
      <c r="A2" s="12">
        <v>45724</v>
      </c>
      <c r="B2" s="26" t="s">
        <v>73</v>
      </c>
      <c r="C2" s="26" t="s">
        <v>74</v>
      </c>
      <c r="D2" s="24"/>
      <c r="E2" s="24">
        <v>304900</v>
      </c>
      <c r="F2" s="24"/>
    </row>
    <row r="3" spans="1:6" x14ac:dyDescent="0.3">
      <c r="A3" s="12">
        <v>45816</v>
      </c>
      <c r="B3" s="26" t="s">
        <v>73</v>
      </c>
      <c r="C3" s="26" t="s">
        <v>75</v>
      </c>
      <c r="D3" s="24"/>
      <c r="E3" s="24">
        <v>53100</v>
      </c>
      <c r="F3" s="24"/>
    </row>
    <row r="4" spans="1:6" x14ac:dyDescent="0.3">
      <c r="A4" s="12">
        <v>45816</v>
      </c>
      <c r="B4" s="26" t="s">
        <v>76</v>
      </c>
      <c r="C4" s="26"/>
      <c r="D4" s="24"/>
      <c r="E4" s="24">
        <f>3000+6000</f>
        <v>9000</v>
      </c>
      <c r="F4" s="24"/>
    </row>
    <row r="5" spans="1:6" x14ac:dyDescent="0.3">
      <c r="A5" s="12">
        <v>45816</v>
      </c>
      <c r="B5" s="26" t="s">
        <v>45</v>
      </c>
      <c r="C5" s="26"/>
      <c r="D5" s="24"/>
      <c r="E5" s="24">
        <v>56000</v>
      </c>
      <c r="F5" s="24"/>
    </row>
    <row r="6" spans="1:6" x14ac:dyDescent="0.3">
      <c r="A6" s="12">
        <v>45816</v>
      </c>
      <c r="B6" s="26" t="s">
        <v>76</v>
      </c>
      <c r="C6" s="26"/>
      <c r="D6" s="24"/>
      <c r="E6" s="24">
        <f>2000+2500+8500+19000</f>
        <v>32000</v>
      </c>
      <c r="F6" s="24"/>
    </row>
    <row r="7" spans="1:6" x14ac:dyDescent="0.3">
      <c r="A7" s="12" t="s">
        <v>56</v>
      </c>
      <c r="B7" s="26" t="s">
        <v>73</v>
      </c>
      <c r="C7" s="26"/>
      <c r="D7" s="24"/>
      <c r="E7" s="24">
        <f>22500+55000+38000+42000+18000+60000+44000+30000+39500+23800+12000</f>
        <v>384800</v>
      </c>
      <c r="F7" s="24"/>
    </row>
    <row r="8" spans="1:6" x14ac:dyDescent="0.3">
      <c r="A8" s="12" t="s">
        <v>56</v>
      </c>
      <c r="B8" s="26" t="s">
        <v>77</v>
      </c>
      <c r="C8" s="26"/>
      <c r="D8" s="24"/>
      <c r="E8" s="24">
        <v>19500</v>
      </c>
      <c r="F8" s="24"/>
    </row>
    <row r="9" spans="1:6" x14ac:dyDescent="0.3">
      <c r="A9" s="12" t="s">
        <v>56</v>
      </c>
      <c r="B9" s="26" t="s">
        <v>73</v>
      </c>
      <c r="C9" s="26" t="s">
        <v>78</v>
      </c>
      <c r="D9" s="24">
        <v>1561</v>
      </c>
      <c r="E9" s="24">
        <v>57300</v>
      </c>
      <c r="F9" s="24"/>
    </row>
    <row r="10" spans="1:6" x14ac:dyDescent="0.3">
      <c r="A10" s="12" t="s">
        <v>56</v>
      </c>
      <c r="B10" s="26" t="s">
        <v>73</v>
      </c>
      <c r="C10" s="26" t="s">
        <v>78</v>
      </c>
      <c r="D10" s="24">
        <v>1560</v>
      </c>
      <c r="E10" s="24">
        <v>174500</v>
      </c>
      <c r="F10" s="24"/>
    </row>
    <row r="11" spans="1:6" x14ac:dyDescent="0.3">
      <c r="A11" s="12" t="s">
        <v>56</v>
      </c>
      <c r="B11" s="26" t="s">
        <v>73</v>
      </c>
      <c r="C11" s="26" t="s">
        <v>79</v>
      </c>
      <c r="D11" s="24"/>
      <c r="E11" s="24">
        <v>198850</v>
      </c>
      <c r="F11" s="24"/>
    </row>
    <row r="12" spans="1:6" x14ac:dyDescent="0.3">
      <c r="A12" s="12" t="s">
        <v>57</v>
      </c>
      <c r="B12" s="26" t="s">
        <v>80</v>
      </c>
      <c r="C12" s="26"/>
      <c r="D12" s="24"/>
      <c r="E12" s="24">
        <v>3000</v>
      </c>
      <c r="F12" s="24"/>
    </row>
    <row r="13" spans="1:6" x14ac:dyDescent="0.3">
      <c r="A13" s="12" t="s">
        <v>57</v>
      </c>
      <c r="B13" s="26" t="s">
        <v>81</v>
      </c>
      <c r="C13" s="26"/>
      <c r="D13" s="24"/>
      <c r="E13" s="24">
        <v>5000</v>
      </c>
      <c r="F13" s="24"/>
    </row>
    <row r="14" spans="1:6" x14ac:dyDescent="0.3">
      <c r="A14" s="12" t="s">
        <v>57</v>
      </c>
      <c r="B14" s="26" t="s">
        <v>82</v>
      </c>
      <c r="C14" s="26"/>
      <c r="D14" s="24"/>
      <c r="E14" s="24">
        <v>15000</v>
      </c>
      <c r="F14" s="24"/>
    </row>
    <row r="15" spans="1:6" x14ac:dyDescent="0.3">
      <c r="A15" s="12" t="s">
        <v>57</v>
      </c>
      <c r="B15" s="26" t="s">
        <v>50</v>
      </c>
      <c r="C15" s="26"/>
      <c r="D15" s="24"/>
      <c r="E15" s="24">
        <v>10000</v>
      </c>
      <c r="F15" s="24"/>
    </row>
    <row r="16" spans="1:6" x14ac:dyDescent="0.3">
      <c r="A16" s="12" t="s">
        <v>69</v>
      </c>
      <c r="B16" s="26" t="s">
        <v>73</v>
      </c>
      <c r="C16" s="26"/>
      <c r="D16" s="24"/>
      <c r="E16" s="24">
        <f>2000+1300</f>
        <v>3300</v>
      </c>
      <c r="F16" s="24"/>
    </row>
    <row r="17" spans="1:6" x14ac:dyDescent="0.3">
      <c r="A17" s="12" t="s">
        <v>69</v>
      </c>
      <c r="B17" s="26"/>
      <c r="C17" s="26"/>
      <c r="D17" s="24"/>
      <c r="E17" s="24"/>
      <c r="F17" s="24"/>
    </row>
    <row r="18" spans="1:6" x14ac:dyDescent="0.3">
      <c r="A18" s="12" t="s">
        <v>69</v>
      </c>
      <c r="B18" s="26"/>
      <c r="C18" s="26"/>
      <c r="D18" s="24"/>
      <c r="E18" s="24"/>
      <c r="F18" s="24"/>
    </row>
    <row r="19" spans="1:6" x14ac:dyDescent="0.3">
      <c r="A19" s="12" t="s">
        <v>69</v>
      </c>
      <c r="B19" s="26"/>
      <c r="C19" s="26"/>
      <c r="D19" s="24"/>
      <c r="E19" s="24"/>
      <c r="F19" s="24"/>
    </row>
    <row r="20" spans="1:6" x14ac:dyDescent="0.3">
      <c r="A20" s="12"/>
      <c r="B20" s="26"/>
      <c r="C20" s="26"/>
      <c r="D20" s="24"/>
      <c r="E20" s="24"/>
      <c r="F20" s="24"/>
    </row>
    <row r="21" spans="1:6" x14ac:dyDescent="0.3">
      <c r="A21" s="12"/>
      <c r="B21" s="26"/>
      <c r="C21" s="26"/>
      <c r="D21" s="24"/>
      <c r="E21" s="24"/>
      <c r="F21" s="24"/>
    </row>
    <row r="22" spans="1:6" x14ac:dyDescent="0.3">
      <c r="A22" s="12"/>
      <c r="B22" s="26"/>
      <c r="C22" s="26"/>
      <c r="D22" s="24"/>
      <c r="E22" s="24"/>
      <c r="F22" s="24"/>
    </row>
    <row r="23" spans="1:6" x14ac:dyDescent="0.3">
      <c r="A23" s="12"/>
      <c r="B23" s="26"/>
      <c r="C23" s="26"/>
      <c r="D23" s="24"/>
      <c r="E23" s="24"/>
      <c r="F23" s="24"/>
    </row>
    <row r="24" spans="1:6" x14ac:dyDescent="0.3">
      <c r="A24" s="12"/>
      <c r="B24" s="26"/>
      <c r="C24" s="26"/>
      <c r="D24" s="24"/>
      <c r="E24" s="24"/>
      <c r="F24" s="24"/>
    </row>
    <row r="25" spans="1:6" x14ac:dyDescent="0.3">
      <c r="A25" s="12"/>
      <c r="B25" s="26"/>
      <c r="C25" s="26"/>
      <c r="D25" s="24"/>
      <c r="E25" s="24"/>
      <c r="F25" s="24"/>
    </row>
    <row r="26" spans="1:6" x14ac:dyDescent="0.3">
      <c r="A26" s="12"/>
      <c r="B26" s="26"/>
      <c r="C26" s="26"/>
      <c r="D26" s="24"/>
      <c r="E26" s="24"/>
      <c r="F26" s="24"/>
    </row>
    <row r="27" spans="1:6" x14ac:dyDescent="0.3">
      <c r="A27" s="12"/>
      <c r="B27" s="26"/>
      <c r="C27" s="26"/>
      <c r="D27" s="24"/>
      <c r="E27" s="24"/>
      <c r="F27" s="24"/>
    </row>
    <row r="28" spans="1:6" x14ac:dyDescent="0.3">
      <c r="A28" s="12"/>
      <c r="B28" s="26"/>
      <c r="C28" s="26"/>
      <c r="D28" s="24"/>
      <c r="E28" s="24"/>
      <c r="F28" s="24"/>
    </row>
    <row r="29" spans="1:6" x14ac:dyDescent="0.3">
      <c r="A29" s="12"/>
      <c r="B29" s="26"/>
      <c r="C29" s="26"/>
      <c r="D29" s="24"/>
      <c r="E29" s="24"/>
      <c r="F29" s="24"/>
    </row>
    <row r="30" spans="1:6" x14ac:dyDescent="0.3">
      <c r="A30" s="12"/>
      <c r="B30" s="26"/>
      <c r="C30" s="26"/>
      <c r="D30" s="24"/>
      <c r="E30" s="24"/>
      <c r="F30" s="24"/>
    </row>
    <row r="31" spans="1:6" x14ac:dyDescent="0.3">
      <c r="A31" s="12"/>
      <c r="B31" s="26"/>
      <c r="C31" s="26"/>
      <c r="D31" s="24"/>
      <c r="E31" s="24"/>
      <c r="F31" s="24"/>
    </row>
    <row r="32" spans="1:6" x14ac:dyDescent="0.3">
      <c r="A32" s="12" t="s">
        <v>83</v>
      </c>
      <c r="B32" s="26"/>
      <c r="C32" s="26"/>
      <c r="D32" s="24"/>
      <c r="E32" s="24"/>
      <c r="F32" s="24"/>
    </row>
    <row r="33" spans="1:6" x14ac:dyDescent="0.3">
      <c r="A33" s="12" t="s">
        <v>83</v>
      </c>
      <c r="B33" s="26"/>
      <c r="C33" s="26"/>
      <c r="D33" s="24"/>
      <c r="E33" s="24"/>
      <c r="F33" s="24"/>
    </row>
    <row r="34" spans="1:6" x14ac:dyDescent="0.3">
      <c r="A34" s="12" t="s">
        <v>83</v>
      </c>
      <c r="B34" s="26"/>
      <c r="C34" s="26"/>
      <c r="D34" s="24"/>
      <c r="E34" s="24"/>
      <c r="F34" s="24"/>
    </row>
    <row r="35" spans="1:6" x14ac:dyDescent="0.3">
      <c r="A35" s="12" t="s">
        <v>83</v>
      </c>
      <c r="B35" s="26"/>
      <c r="C35" s="26"/>
      <c r="D35" s="24"/>
      <c r="E35" s="24"/>
      <c r="F35" s="24"/>
    </row>
    <row r="36" spans="1:6" x14ac:dyDescent="0.3">
      <c r="A36" s="12"/>
      <c r="B36" s="26"/>
      <c r="C36" s="26"/>
      <c r="D36" s="24"/>
      <c r="E36" s="24"/>
      <c r="F36" s="24"/>
    </row>
    <row r="37" spans="1:6" x14ac:dyDescent="0.3">
      <c r="A37" s="27"/>
      <c r="B37" s="23"/>
      <c r="C37" s="23"/>
      <c r="D37" s="22"/>
      <c r="E37" s="22"/>
      <c r="F37" s="22"/>
    </row>
    <row r="38" spans="1:6" x14ac:dyDescent="0.3">
      <c r="A38" s="27"/>
      <c r="B38" s="23"/>
      <c r="C38" s="23"/>
      <c r="D38" s="22"/>
      <c r="E38" s="22"/>
      <c r="F38" s="22"/>
    </row>
    <row r="39" spans="1:6" x14ac:dyDescent="0.3">
      <c r="A39" s="27"/>
      <c r="B39" s="23"/>
      <c r="C39" s="23"/>
      <c r="D39" s="22"/>
      <c r="E39" s="22">
        <f>SUM(E2:E38)</f>
        <v>1326250</v>
      </c>
      <c r="F39" s="22"/>
    </row>
    <row r="40" spans="1:6" x14ac:dyDescent="0.3">
      <c r="A40" s="27"/>
      <c r="B40" s="23"/>
      <c r="C40" s="23"/>
      <c r="D40" s="22"/>
      <c r="E40" s="22"/>
      <c r="F40" s="2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I26"/>
  <sheetViews>
    <sheetView topLeftCell="A4" workbookViewId="0">
      <selection activeCell="E25" sqref="E25"/>
    </sheetView>
  </sheetViews>
  <sheetFormatPr defaultRowHeight="14.4" x14ac:dyDescent="0.3"/>
  <cols>
    <col min="1" max="1" width="30.33203125" customWidth="1"/>
    <col min="2" max="2" width="11.6640625" style="4" customWidth="1"/>
    <col min="3" max="3" width="13.6640625" style="4" customWidth="1"/>
    <col min="5" max="7" width="13.33203125" bestFit="1" customWidth="1"/>
    <col min="9" max="9" width="13.33203125" bestFit="1" customWidth="1"/>
  </cols>
  <sheetData>
    <row r="2" spans="1:9" ht="18" x14ac:dyDescent="0.35">
      <c r="A2" s="9" t="s">
        <v>84</v>
      </c>
    </row>
    <row r="3" spans="1:9" x14ac:dyDescent="0.3">
      <c r="B3" s="4" t="s">
        <v>14</v>
      </c>
      <c r="C3" s="4" t="s">
        <v>14</v>
      </c>
    </row>
    <row r="4" spans="1:9" x14ac:dyDescent="0.3">
      <c r="A4" t="s">
        <v>25</v>
      </c>
      <c r="C4" s="4">
        <f>[1]REVENUE!M35</f>
        <v>2877600</v>
      </c>
    </row>
    <row r="5" spans="1:9" x14ac:dyDescent="0.3">
      <c r="A5" t="s">
        <v>85</v>
      </c>
      <c r="B5" s="4">
        <v>1550000</v>
      </c>
      <c r="C5" s="8"/>
    </row>
    <row r="6" spans="1:9" x14ac:dyDescent="0.3">
      <c r="A6" t="s">
        <v>28</v>
      </c>
      <c r="B6" s="4">
        <f>[1]MEDICATIONS!E18</f>
        <v>1217750</v>
      </c>
    </row>
    <row r="7" spans="1:9" x14ac:dyDescent="0.3">
      <c r="A7" t="s">
        <v>15</v>
      </c>
      <c r="B7" s="4">
        <f>[1]MEDICATIONS!E24</f>
        <v>22500</v>
      </c>
      <c r="F7" s="4"/>
      <c r="G7" s="4"/>
    </row>
    <row r="8" spans="1:9" x14ac:dyDescent="0.3">
      <c r="A8" t="s">
        <v>86</v>
      </c>
      <c r="B8" s="4">
        <v>1579450</v>
      </c>
      <c r="E8" s="4"/>
      <c r="F8" s="28"/>
      <c r="G8" s="4"/>
    </row>
    <row r="9" spans="1:9" ht="15" thickBot="1" x14ac:dyDescent="0.35">
      <c r="A9" t="s">
        <v>16</v>
      </c>
      <c r="C9" s="4">
        <f>B5+B6+B7-B8</f>
        <v>1210800</v>
      </c>
      <c r="E9" s="28"/>
      <c r="F9" s="28"/>
      <c r="I9" s="28"/>
    </row>
    <row r="10" spans="1:9" ht="15" thickBot="1" x14ac:dyDescent="0.35">
      <c r="A10" s="5" t="s">
        <v>17</v>
      </c>
      <c r="B10" s="6"/>
      <c r="C10" s="7">
        <f>C4-C9</f>
        <v>1666800</v>
      </c>
      <c r="F10" s="4"/>
      <c r="I10" s="16"/>
    </row>
    <row r="11" spans="1:9" x14ac:dyDescent="0.3">
      <c r="A11" s="2" t="s">
        <v>18</v>
      </c>
      <c r="G11" s="4"/>
    </row>
    <row r="12" spans="1:9" x14ac:dyDescent="0.3">
      <c r="A12" t="s">
        <v>19</v>
      </c>
      <c r="B12" s="4">
        <f>170000+1325000</f>
        <v>1495000</v>
      </c>
      <c r="F12" s="28"/>
    </row>
    <row r="13" spans="1:9" x14ac:dyDescent="0.3">
      <c r="A13" t="s">
        <v>35</v>
      </c>
      <c r="B13" s="4">
        <f>'[1]MAINTENANCE-OFFICE SUPPLIES'!E21</f>
        <v>30000</v>
      </c>
      <c r="F13" s="19"/>
    </row>
    <row r="14" spans="1:9" x14ac:dyDescent="0.3">
      <c r="A14" t="s">
        <v>20</v>
      </c>
      <c r="B14" s="4">
        <f>'[1]MAINTENANCE-OFFICE SUPPLIES'!E30</f>
        <v>56000</v>
      </c>
      <c r="F14" s="28"/>
    </row>
    <row r="15" spans="1:9" x14ac:dyDescent="0.3">
      <c r="A15" t="s">
        <v>40</v>
      </c>
      <c r="E15" s="4"/>
      <c r="F15" s="28"/>
      <c r="G15" s="28"/>
    </row>
    <row r="16" spans="1:9" ht="15" thickBot="1" x14ac:dyDescent="0.35">
      <c r="A16" t="s">
        <v>21</v>
      </c>
      <c r="C16" s="4">
        <f>B12+B13+B14+B15+B16</f>
        <v>1581000</v>
      </c>
      <c r="G16" s="28"/>
    </row>
    <row r="17" spans="1:7" ht="15" thickBot="1" x14ac:dyDescent="0.35">
      <c r="A17" s="5" t="s">
        <v>22</v>
      </c>
      <c r="B17" s="6"/>
      <c r="C17" s="7">
        <f>C10-C16</f>
        <v>85800</v>
      </c>
      <c r="F17" s="28"/>
      <c r="G17" s="28"/>
    </row>
    <row r="18" spans="1:7" x14ac:dyDescent="0.3">
      <c r="G18" s="28"/>
    </row>
    <row r="19" spans="1:7" x14ac:dyDescent="0.3">
      <c r="G19" s="4"/>
    </row>
    <row r="20" spans="1:7" x14ac:dyDescent="0.3">
      <c r="F20" s="28"/>
      <c r="G20" s="28"/>
    </row>
    <row r="21" spans="1:7" x14ac:dyDescent="0.3">
      <c r="A21" t="s">
        <v>36</v>
      </c>
      <c r="C21" s="4">
        <v>128500</v>
      </c>
    </row>
    <row r="22" spans="1:7" x14ac:dyDescent="0.3">
      <c r="A22" t="s">
        <v>37</v>
      </c>
      <c r="C22" s="4">
        <v>9500</v>
      </c>
    </row>
    <row r="23" spans="1:7" x14ac:dyDescent="0.3">
      <c r="A23" t="s">
        <v>87</v>
      </c>
      <c r="G23" s="4"/>
    </row>
    <row r="24" spans="1:7" x14ac:dyDescent="0.3">
      <c r="A24" s="16" t="s">
        <v>46</v>
      </c>
      <c r="C24" s="4">
        <v>84000</v>
      </c>
    </row>
    <row r="25" spans="1:7" x14ac:dyDescent="0.3">
      <c r="A25" s="16"/>
      <c r="C25" s="4">
        <f>C21+C22+C23+C24</f>
        <v>222000</v>
      </c>
    </row>
    <row r="26" spans="1:7" x14ac:dyDescent="0.3">
      <c r="A26" t="s">
        <v>88</v>
      </c>
      <c r="C26" s="4">
        <f>C17+C25</f>
        <v>307800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1"/>
  <sheetViews>
    <sheetView topLeftCell="A6" zoomScale="85" zoomScaleNormal="85" workbookViewId="0">
      <selection activeCell="A6" sqref="A1:XFD1048576"/>
    </sheetView>
  </sheetViews>
  <sheetFormatPr defaultRowHeight="14.4" x14ac:dyDescent="0.3"/>
  <cols>
    <col min="1" max="1" width="13.5546875" style="17" customWidth="1"/>
    <col min="2" max="2" width="38.5546875" customWidth="1"/>
    <col min="3" max="3" width="9.109375" customWidth="1"/>
    <col min="4" max="4" width="9.6640625" customWidth="1"/>
    <col min="5" max="6" width="9.109375"/>
  </cols>
  <sheetData>
    <row r="1" spans="1:6" x14ac:dyDescent="0.3">
      <c r="A1" s="22" t="s">
        <v>1</v>
      </c>
      <c r="B1" s="23" t="s">
        <v>12</v>
      </c>
      <c r="C1" s="23"/>
      <c r="D1" s="30" t="s">
        <v>11</v>
      </c>
      <c r="E1" s="22" t="s">
        <v>0</v>
      </c>
    </row>
    <row r="2" spans="1:6" ht="15.6" x14ac:dyDescent="0.3">
      <c r="A2" s="12" t="s">
        <v>57</v>
      </c>
      <c r="B2" s="26" t="s">
        <v>81</v>
      </c>
      <c r="C2" s="26"/>
      <c r="D2" s="24"/>
      <c r="E2" s="24">
        <v>5000</v>
      </c>
      <c r="F2" s="24"/>
    </row>
    <row r="3" spans="1:6" ht="15.6" x14ac:dyDescent="0.3">
      <c r="A3" s="12" t="s">
        <v>57</v>
      </c>
      <c r="B3" s="26" t="s">
        <v>82</v>
      </c>
      <c r="C3" s="26"/>
      <c r="D3" s="24"/>
      <c r="E3" s="24">
        <v>15000</v>
      </c>
      <c r="F3" s="24"/>
    </row>
    <row r="4" spans="1:6" ht="15.6" x14ac:dyDescent="0.3">
      <c r="A4" s="12" t="s">
        <v>57</v>
      </c>
      <c r="B4" s="26" t="s">
        <v>50</v>
      </c>
      <c r="C4" s="26"/>
      <c r="D4" s="24"/>
      <c r="E4" s="24">
        <v>10000</v>
      </c>
      <c r="F4" s="24"/>
    </row>
    <row r="5" spans="1:6" ht="15.6" x14ac:dyDescent="0.3">
      <c r="A5" s="12"/>
      <c r="B5" s="26"/>
      <c r="C5" s="26"/>
      <c r="D5" s="24"/>
      <c r="E5" s="24"/>
      <c r="F5" s="24"/>
    </row>
    <row r="6" spans="1:6" ht="15.6" x14ac:dyDescent="0.3">
      <c r="A6" s="12"/>
      <c r="B6" s="26"/>
      <c r="C6" s="26"/>
      <c r="D6" s="24"/>
      <c r="E6" s="24"/>
      <c r="F6" s="24"/>
    </row>
    <row r="7" spans="1:6" ht="15.6" x14ac:dyDescent="0.3">
      <c r="A7" s="12"/>
      <c r="B7" s="26"/>
      <c r="C7" s="26"/>
      <c r="D7" s="24"/>
      <c r="E7" s="24"/>
      <c r="F7" s="24"/>
    </row>
    <row r="8" spans="1:6" ht="15.6" x14ac:dyDescent="0.3">
      <c r="A8" s="12"/>
      <c r="B8" s="26"/>
      <c r="C8" s="26"/>
      <c r="D8" s="24"/>
      <c r="E8" s="24"/>
      <c r="F8" s="24"/>
    </row>
    <row r="9" spans="1:6" ht="15.6" x14ac:dyDescent="0.3">
      <c r="A9" s="12"/>
      <c r="B9" s="26"/>
      <c r="C9" s="26"/>
      <c r="D9" s="24"/>
      <c r="E9" s="24"/>
      <c r="F9" s="24"/>
    </row>
    <row r="10" spans="1:6" ht="15.6" x14ac:dyDescent="0.3">
      <c r="A10" s="12"/>
      <c r="B10" s="26"/>
      <c r="C10" s="26"/>
      <c r="D10" s="24"/>
      <c r="E10" s="24"/>
      <c r="F10" s="24"/>
    </row>
    <row r="11" spans="1:6" ht="15.6" x14ac:dyDescent="0.3">
      <c r="A11" s="12"/>
      <c r="B11" s="26"/>
      <c r="C11" s="26"/>
      <c r="D11" s="24"/>
      <c r="E11" s="24"/>
      <c r="F11" s="24"/>
    </row>
    <row r="12" spans="1:6" ht="15.6" x14ac:dyDescent="0.3">
      <c r="A12" s="12"/>
      <c r="B12" s="26"/>
      <c r="C12" s="26"/>
      <c r="D12" s="24"/>
      <c r="E12" s="24"/>
      <c r="F12" s="24"/>
    </row>
    <row r="13" spans="1:6" ht="15.6" x14ac:dyDescent="0.3">
      <c r="A13" s="12"/>
      <c r="B13" s="26"/>
      <c r="C13" s="26"/>
      <c r="D13" s="24"/>
      <c r="E13" s="24"/>
      <c r="F13" s="24"/>
    </row>
    <row r="14" spans="1:6" ht="15.6" x14ac:dyDescent="0.3">
      <c r="A14" s="12"/>
      <c r="B14" s="26"/>
      <c r="C14" s="26"/>
      <c r="D14" s="24"/>
      <c r="E14" s="24"/>
      <c r="F14" s="24"/>
    </row>
    <row r="15" spans="1:6" ht="15.6" x14ac:dyDescent="0.3">
      <c r="A15" s="12"/>
      <c r="B15" s="26"/>
      <c r="C15" s="26"/>
      <c r="D15" s="24"/>
      <c r="E15" s="24"/>
      <c r="F15" s="24"/>
    </row>
    <row r="16" spans="1:6" ht="15.6" x14ac:dyDescent="0.3">
      <c r="A16" s="12"/>
      <c r="B16" s="26"/>
      <c r="C16" s="26"/>
      <c r="D16" s="24"/>
      <c r="E16" s="24"/>
      <c r="F16" s="24"/>
    </row>
    <row r="17" spans="1:6" ht="15.6" x14ac:dyDescent="0.3">
      <c r="A17" s="12"/>
      <c r="B17" s="26"/>
      <c r="C17" s="26"/>
      <c r="D17" s="24"/>
      <c r="E17" s="24"/>
      <c r="F17" s="24"/>
    </row>
    <row r="18" spans="1:6" ht="15.6" x14ac:dyDescent="0.3">
      <c r="A18" s="12"/>
      <c r="B18" s="26"/>
      <c r="C18" s="26"/>
      <c r="D18" s="24"/>
      <c r="E18" s="24"/>
      <c r="F18" s="24"/>
    </row>
    <row r="19" spans="1:6" ht="15.6" x14ac:dyDescent="0.3">
      <c r="A19" s="12"/>
      <c r="B19" s="26"/>
      <c r="C19" s="26"/>
      <c r="D19" s="24"/>
      <c r="E19" s="24"/>
      <c r="F19" s="24"/>
    </row>
    <row r="20" spans="1:6" ht="15.6" x14ac:dyDescent="0.3">
      <c r="A20" s="12"/>
      <c r="B20" s="26"/>
      <c r="C20" s="26"/>
      <c r="D20" s="24"/>
      <c r="E20" s="24"/>
      <c r="F20" s="24"/>
    </row>
    <row r="21" spans="1:6" x14ac:dyDescent="0.3">
      <c r="A21" s="25"/>
      <c r="B21" s="22" t="s">
        <v>9</v>
      </c>
      <c r="C21" s="22"/>
      <c r="D21" s="30"/>
      <c r="E21" s="22">
        <f>SUM(E2:E20)</f>
        <v>30000</v>
      </c>
    </row>
    <row r="22" spans="1:6" x14ac:dyDescent="0.3">
      <c r="A22" s="18"/>
      <c r="E22" s="31"/>
    </row>
    <row r="23" spans="1:6" x14ac:dyDescent="0.3">
      <c r="A23" s="18"/>
    </row>
    <row r="24" spans="1:6" x14ac:dyDescent="0.3">
      <c r="A24" s="18"/>
    </row>
    <row r="25" spans="1:6" x14ac:dyDescent="0.3">
      <c r="A25" s="18"/>
      <c r="E25" s="32"/>
    </row>
    <row r="26" spans="1:6" ht="15.6" x14ac:dyDescent="0.3">
      <c r="A26" s="12">
        <v>45816</v>
      </c>
      <c r="B26" s="26" t="s">
        <v>45</v>
      </c>
      <c r="C26" s="26"/>
      <c r="D26" s="24"/>
      <c r="E26" s="24">
        <v>56000</v>
      </c>
      <c r="F26" s="24"/>
    </row>
    <row r="27" spans="1:6" ht="15.6" x14ac:dyDescent="0.3">
      <c r="A27" s="12"/>
      <c r="B27" s="26" t="s">
        <v>45</v>
      </c>
      <c r="C27" s="26"/>
      <c r="D27" s="24"/>
      <c r="E27" s="24"/>
      <c r="F27" s="24"/>
    </row>
    <row r="28" spans="1:6" ht="15.6" x14ac:dyDescent="0.3">
      <c r="A28" s="12"/>
      <c r="B28" s="26"/>
      <c r="C28" s="26"/>
      <c r="D28" s="24"/>
      <c r="E28" s="24"/>
      <c r="F28" s="24"/>
    </row>
    <row r="29" spans="1:6" ht="15.6" x14ac:dyDescent="0.3">
      <c r="A29" s="12"/>
      <c r="B29" s="26"/>
      <c r="C29" s="26"/>
      <c r="D29" s="24"/>
      <c r="E29" s="24"/>
      <c r="F29" s="24"/>
    </row>
    <row r="30" spans="1:6" x14ac:dyDescent="0.3">
      <c r="A30" s="18"/>
      <c r="E30" s="22">
        <f>SUM(E26:E29)</f>
        <v>56000</v>
      </c>
    </row>
    <row r="31" spans="1:6" x14ac:dyDescent="0.3">
      <c r="E31" s="2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2"/>
  <sheetViews>
    <sheetView topLeftCell="A4" workbookViewId="0">
      <selection activeCell="A4" sqref="A1:XFD1048576"/>
    </sheetView>
  </sheetViews>
  <sheetFormatPr defaultRowHeight="14.4" x14ac:dyDescent="0.3"/>
  <cols>
    <col min="1" max="1" width="13.44140625" style="21" customWidth="1"/>
    <col min="2" max="2" width="28" customWidth="1"/>
    <col min="3" max="3" width="16.88671875" customWidth="1"/>
    <col min="4" max="4" width="10.6640625" customWidth="1"/>
  </cols>
  <sheetData>
    <row r="1" spans="1:6" ht="15.6" x14ac:dyDescent="0.3">
      <c r="A1" s="12">
        <v>45724</v>
      </c>
      <c r="B1" s="26" t="s">
        <v>73</v>
      </c>
      <c r="C1" s="26" t="s">
        <v>74</v>
      </c>
      <c r="D1" s="24"/>
      <c r="E1" s="24">
        <v>304900</v>
      </c>
      <c r="F1" s="24"/>
    </row>
    <row r="2" spans="1:6" ht="15.6" x14ac:dyDescent="0.3">
      <c r="A2" s="12">
        <v>45816</v>
      </c>
      <c r="B2" s="26" t="s">
        <v>73</v>
      </c>
      <c r="C2" s="26" t="s">
        <v>75</v>
      </c>
      <c r="D2" s="24"/>
      <c r="E2" s="24">
        <v>53100</v>
      </c>
      <c r="F2" s="24"/>
    </row>
    <row r="3" spans="1:6" ht="28.8" x14ac:dyDescent="0.3">
      <c r="A3" s="12">
        <v>45816</v>
      </c>
      <c r="B3" s="26" t="s">
        <v>76</v>
      </c>
      <c r="C3" s="26"/>
      <c r="D3" s="24"/>
      <c r="E3" s="24">
        <f>3000+6000</f>
        <v>9000</v>
      </c>
      <c r="F3" s="24"/>
    </row>
    <row r="4" spans="1:6" ht="28.8" x14ac:dyDescent="0.3">
      <c r="A4" s="12">
        <v>45816</v>
      </c>
      <c r="B4" s="26" t="s">
        <v>76</v>
      </c>
      <c r="C4" s="26"/>
      <c r="D4" s="24"/>
      <c r="E4" s="24">
        <f>2000+2500+8500+19000</f>
        <v>32000</v>
      </c>
      <c r="F4" s="24"/>
    </row>
    <row r="5" spans="1:6" ht="15.6" x14ac:dyDescent="0.3">
      <c r="A5" s="12" t="s">
        <v>56</v>
      </c>
      <c r="B5" s="26" t="s">
        <v>73</v>
      </c>
      <c r="C5" s="26"/>
      <c r="D5" s="24"/>
      <c r="E5" s="24">
        <f>22500+55000+38000+42000+18000+60000+44000+30000+39500+23800+12000</f>
        <v>384800</v>
      </c>
      <c r="F5" s="24"/>
    </row>
    <row r="6" spans="1:6" ht="15.6" x14ac:dyDescent="0.3">
      <c r="A6" s="12" t="s">
        <v>56</v>
      </c>
      <c r="B6" s="26" t="s">
        <v>73</v>
      </c>
      <c r="C6" s="26" t="s">
        <v>78</v>
      </c>
      <c r="D6" s="24">
        <v>1561</v>
      </c>
      <c r="E6" s="24">
        <v>57300</v>
      </c>
      <c r="F6" s="24"/>
    </row>
    <row r="7" spans="1:6" ht="15.6" x14ac:dyDescent="0.3">
      <c r="A7" s="12" t="s">
        <v>56</v>
      </c>
      <c r="B7" s="26" t="s">
        <v>73</v>
      </c>
      <c r="C7" s="26" t="s">
        <v>78</v>
      </c>
      <c r="D7" s="24">
        <v>1560</v>
      </c>
      <c r="E7" s="24">
        <v>174500</v>
      </c>
      <c r="F7" s="24"/>
    </row>
    <row r="8" spans="1:6" ht="15.6" x14ac:dyDescent="0.3">
      <c r="A8" s="12" t="s">
        <v>56</v>
      </c>
      <c r="B8" s="26" t="s">
        <v>73</v>
      </c>
      <c r="C8" s="26" t="s">
        <v>79</v>
      </c>
      <c r="D8" s="24"/>
      <c r="E8" s="24">
        <v>198850</v>
      </c>
      <c r="F8" s="24"/>
    </row>
    <row r="9" spans="1:6" ht="15.6" x14ac:dyDescent="0.3">
      <c r="A9" s="12" t="s">
        <v>69</v>
      </c>
      <c r="B9" s="26" t="s">
        <v>73</v>
      </c>
      <c r="C9" s="26"/>
      <c r="D9" s="24"/>
      <c r="E9" s="24">
        <f>2000+1300</f>
        <v>3300</v>
      </c>
      <c r="F9" s="24"/>
    </row>
    <row r="10" spans="1:6" ht="15.6" x14ac:dyDescent="0.3">
      <c r="A10" s="12"/>
      <c r="B10" s="26"/>
      <c r="C10" s="26"/>
      <c r="D10" s="24"/>
      <c r="E10" s="24"/>
      <c r="F10" s="24"/>
    </row>
    <row r="11" spans="1:6" ht="15.6" x14ac:dyDescent="0.3">
      <c r="A11" s="12"/>
      <c r="B11" s="26"/>
      <c r="C11" s="26"/>
      <c r="D11" s="24"/>
      <c r="E11" s="24"/>
      <c r="F11" s="24"/>
    </row>
    <row r="12" spans="1:6" ht="15.6" x14ac:dyDescent="0.3">
      <c r="A12" s="12"/>
      <c r="B12" s="26"/>
      <c r="C12" s="26"/>
      <c r="D12" s="24"/>
      <c r="E12" s="24"/>
      <c r="F12" s="24"/>
    </row>
    <row r="13" spans="1:6" ht="15.6" x14ac:dyDescent="0.3">
      <c r="A13" s="12"/>
      <c r="B13" s="26"/>
      <c r="C13" s="26"/>
      <c r="D13" s="24"/>
      <c r="E13" s="24"/>
      <c r="F13" s="24"/>
    </row>
    <row r="14" spans="1:6" ht="15.6" x14ac:dyDescent="0.3">
      <c r="A14" s="12"/>
      <c r="B14" s="26"/>
      <c r="C14" s="26"/>
      <c r="D14" s="24"/>
      <c r="E14" s="24"/>
      <c r="F14" s="24"/>
    </row>
    <row r="15" spans="1:6" ht="15.6" x14ac:dyDescent="0.3">
      <c r="A15" s="12"/>
      <c r="B15" s="26"/>
      <c r="C15" s="26"/>
      <c r="D15" s="24"/>
      <c r="E15" s="24"/>
      <c r="F15" s="24"/>
    </row>
    <row r="16" spans="1:6" ht="15.6" x14ac:dyDescent="0.3">
      <c r="A16" s="12"/>
      <c r="B16" s="26"/>
      <c r="C16" s="26"/>
      <c r="D16" s="24"/>
      <c r="E16" s="24"/>
      <c r="F16" s="24"/>
    </row>
    <row r="17" spans="1:6" ht="15.6" x14ac:dyDescent="0.3">
      <c r="A17" s="12"/>
      <c r="B17" s="26"/>
      <c r="C17" s="26"/>
      <c r="D17" s="24"/>
      <c r="E17" s="24"/>
      <c r="F17" s="24"/>
    </row>
    <row r="18" spans="1:6" ht="15.6" x14ac:dyDescent="0.3">
      <c r="A18" s="12"/>
      <c r="B18" s="26"/>
      <c r="C18" s="26"/>
      <c r="D18" s="24"/>
      <c r="E18" s="24">
        <f>SUM(E1:E17)</f>
        <v>1217750</v>
      </c>
      <c r="F18" s="24"/>
    </row>
    <row r="19" spans="1:6" x14ac:dyDescent="0.3">
      <c r="A19" s="20"/>
      <c r="B19" s="3"/>
    </row>
    <row r="20" spans="1:6" x14ac:dyDescent="0.3">
      <c r="A20" s="20"/>
      <c r="B20" s="3"/>
    </row>
    <row r="21" spans="1:6" ht="15.6" x14ac:dyDescent="0.3">
      <c r="A21" s="12" t="s">
        <v>56</v>
      </c>
      <c r="B21" s="26" t="s">
        <v>77</v>
      </c>
      <c r="C21" s="26"/>
      <c r="D21" s="24"/>
      <c r="E21" s="24">
        <v>19500</v>
      </c>
      <c r="F21" s="24"/>
    </row>
    <row r="22" spans="1:6" ht="15.6" x14ac:dyDescent="0.3">
      <c r="A22" s="12" t="s">
        <v>57</v>
      </c>
      <c r="B22" s="26" t="s">
        <v>80</v>
      </c>
      <c r="C22" s="26"/>
      <c r="D22" s="24"/>
      <c r="E22" s="24">
        <v>3000</v>
      </c>
      <c r="F22" s="24"/>
    </row>
    <row r="23" spans="1:6" ht="15.6" x14ac:dyDescent="0.3">
      <c r="A23" s="12"/>
      <c r="B23" s="26"/>
      <c r="C23" s="26"/>
      <c r="D23" s="24"/>
      <c r="E23" s="24"/>
      <c r="F23" s="24"/>
    </row>
    <row r="24" spans="1:6" x14ac:dyDescent="0.3">
      <c r="E24">
        <f>SUM(E21:E23)</f>
        <v>22500</v>
      </c>
    </row>
    <row r="26" spans="1:6" x14ac:dyDescent="0.3">
      <c r="E26">
        <f>E19+E24</f>
        <v>22500</v>
      </c>
    </row>
    <row r="29" spans="1:6" x14ac:dyDescent="0.3">
      <c r="C29" t="s">
        <v>51</v>
      </c>
      <c r="D29">
        <f>E19</f>
        <v>0</v>
      </c>
    </row>
    <row r="30" spans="1:6" x14ac:dyDescent="0.3">
      <c r="C30" t="s">
        <v>52</v>
      </c>
      <c r="D30">
        <f>E24</f>
        <v>22500</v>
      </c>
    </row>
    <row r="32" spans="1:6" x14ac:dyDescent="0.3">
      <c r="D32">
        <f>D29+D30+D31</f>
        <v>22500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P27"/>
  <sheetViews>
    <sheetView topLeftCell="A14" workbookViewId="0">
      <selection activeCell="L25" sqref="L25"/>
    </sheetView>
  </sheetViews>
  <sheetFormatPr defaultRowHeight="14.4" x14ac:dyDescent="0.3"/>
  <cols>
    <col min="1" max="1" width="19" style="17" customWidth="1"/>
    <col min="2" max="2" width="24.44140625" customWidth="1"/>
    <col min="3" max="3" width="10.109375" bestFit="1" customWidth="1"/>
    <col min="7" max="7" width="11.6640625" bestFit="1" customWidth="1"/>
    <col min="8" max="8" width="13.33203125" bestFit="1" customWidth="1"/>
    <col min="9" max="9" width="10.109375" bestFit="1" customWidth="1"/>
    <col min="11" max="11" width="11.6640625" bestFit="1" customWidth="1"/>
  </cols>
  <sheetData>
    <row r="2" spans="1:16" ht="15.6" x14ac:dyDescent="0.3">
      <c r="A2" s="1" t="s">
        <v>30</v>
      </c>
      <c r="B2" s="1"/>
      <c r="C2" s="1"/>
      <c r="D2" s="1"/>
      <c r="E2" s="1"/>
      <c r="F2" s="1"/>
      <c r="G2" s="1"/>
    </row>
    <row r="3" spans="1:16" ht="15.6" x14ac:dyDescent="0.3">
      <c r="A3" s="1"/>
      <c r="B3" s="1" t="s">
        <v>31</v>
      </c>
      <c r="C3" s="1"/>
      <c r="D3" s="1"/>
      <c r="E3" s="1"/>
      <c r="F3" s="1">
        <f>REVENUE!H52</f>
        <v>1853550</v>
      </c>
      <c r="G3" s="1"/>
    </row>
    <row r="4" spans="1:16" ht="15.6" x14ac:dyDescent="0.3">
      <c r="A4" s="1"/>
      <c r="B4" s="1" t="s">
        <v>18</v>
      </c>
      <c r="C4" s="1"/>
      <c r="D4" s="1"/>
      <c r="E4" s="1"/>
      <c r="F4" s="1">
        <f>REVENUE!H53</f>
        <v>1326250</v>
      </c>
      <c r="G4" s="1"/>
    </row>
    <row r="5" spans="1:16" ht="15.6" x14ac:dyDescent="0.3">
      <c r="A5" s="1"/>
      <c r="B5" s="1" t="s">
        <v>9</v>
      </c>
      <c r="C5" s="1"/>
      <c r="D5" s="1"/>
      <c r="E5" s="1"/>
      <c r="F5" s="1">
        <f>F3+F4</f>
        <v>3179800</v>
      </c>
      <c r="G5" s="1"/>
    </row>
    <row r="6" spans="1:16" ht="16.2" thickBot="1" x14ac:dyDescent="0.35">
      <c r="A6" s="1"/>
      <c r="B6" s="1" t="s">
        <v>32</v>
      </c>
      <c r="C6" s="1"/>
      <c r="D6" s="1"/>
      <c r="E6" s="1"/>
      <c r="F6" s="1">
        <f>REVENUE!J55</f>
        <v>-2115</v>
      </c>
      <c r="G6" s="1"/>
    </row>
    <row r="7" spans="1:16" ht="16.2" thickBot="1" x14ac:dyDescent="0.35">
      <c r="A7" s="1"/>
      <c r="B7" s="1" t="s">
        <v>33</v>
      </c>
      <c r="C7" s="1"/>
      <c r="D7" s="1"/>
      <c r="E7" s="1"/>
      <c r="F7" s="15">
        <f>F5+F6</f>
        <v>3177685</v>
      </c>
      <c r="G7" s="1"/>
    </row>
    <row r="8" spans="1:16" ht="15.6" x14ac:dyDescent="0.3">
      <c r="A8" s="1"/>
      <c r="B8" s="1"/>
      <c r="C8" s="1"/>
      <c r="D8" s="1"/>
      <c r="E8" s="1"/>
      <c r="F8" s="1"/>
      <c r="G8" s="1"/>
      <c r="K8" s="1"/>
      <c r="L8" s="1"/>
      <c r="M8" s="1"/>
      <c r="N8" s="1"/>
      <c r="O8" s="1"/>
      <c r="P8" s="1"/>
    </row>
    <row r="9" spans="1:16" ht="15.6" x14ac:dyDescent="0.3">
      <c r="K9" s="1"/>
      <c r="L9" s="1"/>
      <c r="M9" s="1"/>
      <c r="N9" s="1"/>
      <c r="O9" s="1"/>
      <c r="P9" s="1"/>
    </row>
    <row r="10" spans="1:16" ht="15.6" x14ac:dyDescent="0.3">
      <c r="A10" s="17" t="s">
        <v>89</v>
      </c>
      <c r="H10" s="28"/>
      <c r="K10" s="1"/>
      <c r="L10" s="1"/>
      <c r="M10" s="1"/>
      <c r="N10" s="1"/>
      <c r="O10" s="1"/>
      <c r="P10" s="1"/>
    </row>
    <row r="11" spans="1:16" ht="15.6" x14ac:dyDescent="0.3">
      <c r="K11" s="1"/>
      <c r="L11" s="1"/>
      <c r="M11" s="1"/>
      <c r="N11" s="1"/>
      <c r="O11" s="1"/>
      <c r="P11" s="1"/>
    </row>
    <row r="12" spans="1:16" ht="15.6" x14ac:dyDescent="0.3">
      <c r="B12" t="s">
        <v>47</v>
      </c>
      <c r="F12">
        <f>REVENUE!H47</f>
        <v>3177685</v>
      </c>
      <c r="K12" s="1"/>
      <c r="L12" s="1"/>
      <c r="M12" s="1"/>
      <c r="N12" s="1"/>
      <c r="O12" s="1"/>
      <c r="P12" s="1"/>
    </row>
    <row r="13" spans="1:16" ht="16.2" thickBot="1" x14ac:dyDescent="0.35">
      <c r="B13" t="s">
        <v>48</v>
      </c>
      <c r="K13" s="1"/>
      <c r="L13" s="1"/>
      <c r="M13" s="1"/>
      <c r="N13" s="1"/>
      <c r="O13" s="1"/>
      <c r="P13" s="1"/>
    </row>
    <row r="14" spans="1:16" ht="15" thickBot="1" x14ac:dyDescent="0.35">
      <c r="B14" t="s">
        <v>9</v>
      </c>
      <c r="F14" s="33">
        <f>F12+F13</f>
        <v>3177685</v>
      </c>
    </row>
    <row r="15" spans="1:16" x14ac:dyDescent="0.3">
      <c r="H15" s="28"/>
    </row>
    <row r="16" spans="1:16" x14ac:dyDescent="0.3">
      <c r="H16" s="28"/>
    </row>
    <row r="17" spans="1:9" x14ac:dyDescent="0.3">
      <c r="A17" s="34" t="s">
        <v>49</v>
      </c>
      <c r="H17" s="4"/>
    </row>
    <row r="18" spans="1:9" x14ac:dyDescent="0.3">
      <c r="A18" s="17" t="s">
        <v>90</v>
      </c>
      <c r="G18" s="4"/>
      <c r="H18" s="4"/>
    </row>
    <row r="19" spans="1:9" x14ac:dyDescent="0.3">
      <c r="A19" s="17" t="s">
        <v>91</v>
      </c>
      <c r="G19" s="4"/>
      <c r="H19" s="4"/>
    </row>
    <row r="20" spans="1:9" x14ac:dyDescent="0.3">
      <c r="A20" s="17" t="s">
        <v>92</v>
      </c>
      <c r="I20" s="4"/>
    </row>
    <row r="21" spans="1:9" x14ac:dyDescent="0.3">
      <c r="A21" s="17" t="s">
        <v>93</v>
      </c>
      <c r="G21" s="4"/>
    </row>
    <row r="27" spans="1:9" x14ac:dyDescent="0.3">
      <c r="C27" s="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I26"/>
  <sheetViews>
    <sheetView workbookViewId="0">
      <selection activeCell="G20" sqref="G20"/>
    </sheetView>
  </sheetViews>
  <sheetFormatPr defaultRowHeight="14.4" x14ac:dyDescent="0.3"/>
  <cols>
    <col min="1" max="1" width="30.33203125" customWidth="1"/>
    <col min="2" max="2" width="11.6640625" style="4" customWidth="1"/>
    <col min="3" max="3" width="13.6640625" style="4" customWidth="1"/>
    <col min="5" max="5" width="13.33203125" bestFit="1" customWidth="1"/>
    <col min="6" max="6" width="11.6640625" customWidth="1"/>
    <col min="7" max="7" width="23" customWidth="1"/>
    <col min="9" max="9" width="13.33203125" bestFit="1" customWidth="1"/>
  </cols>
  <sheetData>
    <row r="2" spans="1:9" ht="18" x14ac:dyDescent="0.35">
      <c r="A2" s="9" t="s">
        <v>95</v>
      </c>
    </row>
    <row r="3" spans="1:9" x14ac:dyDescent="0.3">
      <c r="B3" s="4" t="s">
        <v>14</v>
      </c>
      <c r="C3" s="4" t="s">
        <v>14</v>
      </c>
    </row>
    <row r="4" spans="1:9" x14ac:dyDescent="0.3">
      <c r="A4" t="s">
        <v>25</v>
      </c>
      <c r="C4" s="4">
        <f>REVENUE!E35</f>
        <v>160000</v>
      </c>
    </row>
    <row r="5" spans="1:9" x14ac:dyDescent="0.3">
      <c r="A5" t="s">
        <v>85</v>
      </c>
      <c r="B5" s="4">
        <v>210500</v>
      </c>
      <c r="C5" s="8"/>
    </row>
    <row r="6" spans="1:9" x14ac:dyDescent="0.3">
      <c r="A6" t="s">
        <v>28</v>
      </c>
      <c r="B6" s="4">
        <v>167000</v>
      </c>
    </row>
    <row r="7" spans="1:9" x14ac:dyDescent="0.3">
      <c r="A7" t="s">
        <v>15</v>
      </c>
      <c r="B7" s="4">
        <v>5000</v>
      </c>
      <c r="F7" s="4"/>
    </row>
    <row r="8" spans="1:9" x14ac:dyDescent="0.3">
      <c r="A8" t="s">
        <v>86</v>
      </c>
      <c r="B8" s="4">
        <v>361000</v>
      </c>
      <c r="F8" s="28"/>
      <c r="G8" s="4"/>
    </row>
    <row r="9" spans="1:9" ht="15" thickBot="1" x14ac:dyDescent="0.35">
      <c r="A9" t="s">
        <v>16</v>
      </c>
      <c r="C9" s="4">
        <f>B5+B6+B7-B8</f>
        <v>21500</v>
      </c>
      <c r="E9" s="28"/>
      <c r="F9" s="28"/>
      <c r="G9" s="4"/>
    </row>
    <row r="10" spans="1:9" ht="15" thickBot="1" x14ac:dyDescent="0.35">
      <c r="A10" s="5" t="s">
        <v>17</v>
      </c>
      <c r="B10" s="6"/>
      <c r="C10" s="7">
        <f>C4-C9</f>
        <v>138500</v>
      </c>
      <c r="F10" s="4"/>
      <c r="I10" s="28"/>
    </row>
    <row r="11" spans="1:9" x14ac:dyDescent="0.3">
      <c r="A11" s="2" t="s">
        <v>18</v>
      </c>
      <c r="F11" s="28"/>
    </row>
    <row r="12" spans="1:9" x14ac:dyDescent="0.3">
      <c r="A12" t="s">
        <v>19</v>
      </c>
      <c r="B12" s="4">
        <v>45000</v>
      </c>
      <c r="G12" s="4"/>
      <c r="I12" s="28"/>
    </row>
    <row r="13" spans="1:9" x14ac:dyDescent="0.3">
      <c r="A13" t="s">
        <v>35</v>
      </c>
      <c r="B13" s="4">
        <v>3000</v>
      </c>
      <c r="F13" s="19"/>
      <c r="G13" s="4"/>
      <c r="I13" s="28"/>
    </row>
    <row r="14" spans="1:9" x14ac:dyDescent="0.3">
      <c r="A14" t="s">
        <v>20</v>
      </c>
      <c r="B14" s="4">
        <f>11780+18900</f>
        <v>30680</v>
      </c>
      <c r="G14" s="19"/>
    </row>
    <row r="15" spans="1:9" x14ac:dyDescent="0.3">
      <c r="A15" t="s">
        <v>40</v>
      </c>
      <c r="E15" s="4"/>
    </row>
    <row r="16" spans="1:9" ht="15" thickBot="1" x14ac:dyDescent="0.35">
      <c r="A16" t="s">
        <v>21</v>
      </c>
      <c r="C16" s="4">
        <f>B12+B13+B14+B15+B16</f>
        <v>78680</v>
      </c>
    </row>
    <row r="17" spans="1:7" ht="15" thickBot="1" x14ac:dyDescent="0.35">
      <c r="A17" s="5" t="s">
        <v>22</v>
      </c>
      <c r="B17" s="6"/>
      <c r="C17" s="7">
        <f>C10-C16</f>
        <v>59820</v>
      </c>
    </row>
    <row r="18" spans="1:7" x14ac:dyDescent="0.3">
      <c r="G18" s="28"/>
    </row>
    <row r="20" spans="1:7" x14ac:dyDescent="0.3">
      <c r="F20" s="28"/>
      <c r="G20" s="28"/>
    </row>
    <row r="21" spans="1:7" x14ac:dyDescent="0.3">
      <c r="A21" t="s">
        <v>36</v>
      </c>
      <c r="C21" s="4">
        <v>21500</v>
      </c>
      <c r="G21" s="28"/>
    </row>
    <row r="22" spans="1:7" x14ac:dyDescent="0.3">
      <c r="A22" t="s">
        <v>37</v>
      </c>
    </row>
    <row r="23" spans="1:7" x14ac:dyDescent="0.3">
      <c r="A23" t="s">
        <v>94</v>
      </c>
    </row>
    <row r="24" spans="1:7" x14ac:dyDescent="0.3">
      <c r="A24" s="16" t="s">
        <v>46</v>
      </c>
    </row>
    <row r="25" spans="1:7" x14ac:dyDescent="0.3">
      <c r="A25" s="16"/>
      <c r="C25" s="4">
        <f>C21+C22+C23+C24</f>
        <v>21500</v>
      </c>
    </row>
    <row r="26" spans="1:7" x14ac:dyDescent="0.3">
      <c r="A26" t="s">
        <v>41</v>
      </c>
      <c r="C26" s="4">
        <f>C17+C25</f>
        <v>81320</v>
      </c>
      <c r="G26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REVENUE</vt:lpstr>
      <vt:lpstr>GEN.EXPENSES</vt:lpstr>
      <vt:lpstr>FIN. REPORT</vt:lpstr>
      <vt:lpstr>MAINTENANCE-OFFICE SUPPLIES</vt:lpstr>
      <vt:lpstr>MEDICATIONS</vt:lpstr>
      <vt:lpstr>SUMMARY</vt:lpstr>
      <vt:lpstr>LAB.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ACIU NA-EBUBE ENA</dc:creator>
  <cp:lastModifiedBy>DELL</cp:lastModifiedBy>
  <dcterms:created xsi:type="dcterms:W3CDTF">2021-07-05T08:45:26Z</dcterms:created>
  <dcterms:modified xsi:type="dcterms:W3CDTF">2026-08-27T00:30:47Z</dcterms:modified>
</cp:coreProperties>
</file>