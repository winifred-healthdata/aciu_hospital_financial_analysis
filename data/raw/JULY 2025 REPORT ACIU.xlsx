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ACIU\"/>
    </mc:Choice>
  </mc:AlternateContent>
  <xr:revisionPtr revIDLastSave="0" documentId="8_{AA0E1BF8-F149-44D6-B06F-0019F6B1EB0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TOCK" sheetId="1" r:id="rId1"/>
    <sheet name="REVENUE" sheetId="2" r:id="rId2"/>
    <sheet name="IMPREST" sheetId="3" r:id="rId3"/>
    <sheet name="EXPENSE GROUPING" sheetId="4" r:id="rId4"/>
    <sheet name="FIN. REPORT" sheetId="5" r:id="rId5"/>
    <sheet name="Sheet3" sheetId="6" r:id="rId6"/>
    <sheet name="MAINTENANCE-OFFICE SUPPLIES" sheetId="7" r:id="rId7"/>
    <sheet name="MEDICATIONS" sheetId="8" r:id="rId8"/>
    <sheet name="Sheet1" sheetId="9" r:id="rId9"/>
    <sheet name="CLOSING STOCK" sheetId="10" r:id="rId10"/>
    <sheet name="Sheet2" sheetId="11" r:id="rId11"/>
  </sheets>
  <externalReferences>
    <externalReference r:id="rId1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5" l="1"/>
  <c r="E30" i="7"/>
  <c r="E21" i="7"/>
  <c r="D29" i="8"/>
  <c r="E24" i="8"/>
  <c r="D30" i="8" s="1"/>
  <c r="E18" i="8"/>
  <c r="E39" i="3"/>
  <c r="H53" i="2"/>
  <c r="B47" i="2"/>
  <c r="K45" i="2"/>
  <c r="B41" i="2"/>
  <c r="K35" i="2"/>
  <c r="J35" i="2"/>
  <c r="I35" i="2"/>
  <c r="H35" i="2"/>
  <c r="F35" i="2"/>
  <c r="D35" i="2"/>
  <c r="C35" i="2"/>
  <c r="B35" i="2"/>
  <c r="G34" i="2"/>
  <c r="E34" i="2"/>
  <c r="M34" i="2" s="1"/>
  <c r="M33" i="2"/>
  <c r="G33" i="2"/>
  <c r="M32" i="2"/>
  <c r="G32" i="2"/>
  <c r="G31" i="2"/>
  <c r="E31" i="2"/>
  <c r="G30" i="2"/>
  <c r="M30" i="2" s="1"/>
  <c r="Q29" i="2"/>
  <c r="Q31" i="2" s="1"/>
  <c r="H52" i="2" s="1"/>
  <c r="G29" i="2"/>
  <c r="M29" i="2" s="1"/>
  <c r="S28" i="2"/>
  <c r="Q28" i="2"/>
  <c r="G28" i="2"/>
  <c r="E28" i="2"/>
  <c r="Q27" i="2"/>
  <c r="S27" i="2" s="1"/>
  <c r="G27" i="2"/>
  <c r="E27" i="2"/>
  <c r="S26" i="2"/>
  <c r="T26" i="2" s="1"/>
  <c r="Q26" i="2"/>
  <c r="M26" i="2"/>
  <c r="G26" i="2"/>
  <c r="G25" i="2"/>
  <c r="M25" i="2" s="1"/>
  <c r="G24" i="2"/>
  <c r="E24" i="2"/>
  <c r="G23" i="2"/>
  <c r="M23" i="2" s="1"/>
  <c r="G22" i="2"/>
  <c r="M22" i="2" s="1"/>
  <c r="G21" i="2"/>
  <c r="E21" i="2"/>
  <c r="G20" i="2"/>
  <c r="M20" i="2" s="1"/>
  <c r="G19" i="2"/>
  <c r="E19" i="2"/>
  <c r="G18" i="2"/>
  <c r="E18" i="2"/>
  <c r="M17" i="2"/>
  <c r="G17" i="2"/>
  <c r="G16" i="2"/>
  <c r="M16" i="2" s="1"/>
  <c r="M15" i="2"/>
  <c r="G15" i="2"/>
  <c r="M14" i="2"/>
  <c r="G14" i="2"/>
  <c r="G13" i="2"/>
  <c r="E13" i="2"/>
  <c r="G12" i="2"/>
  <c r="E12" i="2"/>
  <c r="M12" i="2" s="1"/>
  <c r="M11" i="2"/>
  <c r="G11" i="2"/>
  <c r="M10" i="2"/>
  <c r="G10" i="2"/>
  <c r="M9" i="2"/>
  <c r="G9" i="2"/>
  <c r="G8" i="2"/>
  <c r="M8" i="2" s="1"/>
  <c r="G7" i="2"/>
  <c r="E7" i="2"/>
  <c r="L6" i="2"/>
  <c r="L35" i="2" s="1"/>
  <c r="G6" i="2"/>
  <c r="E6" i="2"/>
  <c r="E35" i="2" s="1"/>
  <c r="G5" i="2"/>
  <c r="M5" i="2" s="1"/>
  <c r="G4" i="2"/>
  <c r="D375" i="1"/>
  <c r="G375" i="1" s="1"/>
  <c r="I375" i="1" s="1"/>
  <c r="D374" i="1"/>
  <c r="G374" i="1" s="1"/>
  <c r="I374" i="1" s="1"/>
  <c r="G373" i="1"/>
  <c r="I373" i="1" s="1"/>
  <c r="D373" i="1"/>
  <c r="D372" i="1"/>
  <c r="G372" i="1" s="1"/>
  <c r="I372" i="1" s="1"/>
  <c r="D371" i="1"/>
  <c r="G371" i="1" s="1"/>
  <c r="I371" i="1" s="1"/>
  <c r="D370" i="1"/>
  <c r="G370" i="1" s="1"/>
  <c r="I370" i="1" s="1"/>
  <c r="G369" i="1"/>
  <c r="I369" i="1" s="1"/>
  <c r="D369" i="1"/>
  <c r="D368" i="1"/>
  <c r="G368" i="1" s="1"/>
  <c r="I368" i="1" s="1"/>
  <c r="D367" i="1"/>
  <c r="G367" i="1" s="1"/>
  <c r="I367" i="1" s="1"/>
  <c r="D366" i="1"/>
  <c r="G366" i="1" s="1"/>
  <c r="I366" i="1" s="1"/>
  <c r="D365" i="1"/>
  <c r="G365" i="1" s="1"/>
  <c r="I365" i="1" s="1"/>
  <c r="D364" i="1"/>
  <c r="G364" i="1" s="1"/>
  <c r="I364" i="1" s="1"/>
  <c r="D363" i="1"/>
  <c r="G363" i="1" s="1"/>
  <c r="I363" i="1" s="1"/>
  <c r="D362" i="1"/>
  <c r="G362" i="1" s="1"/>
  <c r="I362" i="1" s="1"/>
  <c r="G361" i="1"/>
  <c r="I361" i="1" s="1"/>
  <c r="D361" i="1"/>
  <c r="D360" i="1"/>
  <c r="G360" i="1" s="1"/>
  <c r="I360" i="1" s="1"/>
  <c r="D359" i="1"/>
  <c r="G359" i="1" s="1"/>
  <c r="I359" i="1" s="1"/>
  <c r="D358" i="1"/>
  <c r="G358" i="1" s="1"/>
  <c r="I358" i="1" s="1"/>
  <c r="G357" i="1"/>
  <c r="I357" i="1" s="1"/>
  <c r="D357" i="1"/>
  <c r="D356" i="1"/>
  <c r="G356" i="1" s="1"/>
  <c r="I356" i="1" s="1"/>
  <c r="D355" i="1"/>
  <c r="G355" i="1" s="1"/>
  <c r="I355" i="1" s="1"/>
  <c r="D354" i="1"/>
  <c r="G354" i="1" s="1"/>
  <c r="I354" i="1" s="1"/>
  <c r="G353" i="1"/>
  <c r="I353" i="1" s="1"/>
  <c r="D353" i="1"/>
  <c r="D352" i="1"/>
  <c r="G352" i="1" s="1"/>
  <c r="I352" i="1" s="1"/>
  <c r="D351" i="1"/>
  <c r="G351" i="1" s="1"/>
  <c r="I351" i="1" s="1"/>
  <c r="D350" i="1"/>
  <c r="G350" i="1" s="1"/>
  <c r="I350" i="1" s="1"/>
  <c r="D349" i="1"/>
  <c r="G349" i="1" s="1"/>
  <c r="I349" i="1" s="1"/>
  <c r="D348" i="1"/>
  <c r="G348" i="1" s="1"/>
  <c r="I348" i="1" s="1"/>
  <c r="D347" i="1"/>
  <c r="G347" i="1" s="1"/>
  <c r="I347" i="1" s="1"/>
  <c r="D346" i="1"/>
  <c r="G346" i="1" s="1"/>
  <c r="I346" i="1" s="1"/>
  <c r="G345" i="1"/>
  <c r="I345" i="1" s="1"/>
  <c r="D345" i="1"/>
  <c r="D344" i="1"/>
  <c r="G344" i="1" s="1"/>
  <c r="I344" i="1" s="1"/>
  <c r="D343" i="1"/>
  <c r="G343" i="1" s="1"/>
  <c r="I343" i="1" s="1"/>
  <c r="D342" i="1"/>
  <c r="G342" i="1" s="1"/>
  <c r="I342" i="1" s="1"/>
  <c r="G341" i="1"/>
  <c r="I341" i="1" s="1"/>
  <c r="D341" i="1"/>
  <c r="D340" i="1"/>
  <c r="G340" i="1" s="1"/>
  <c r="I340" i="1" s="1"/>
  <c r="D339" i="1"/>
  <c r="G339" i="1" s="1"/>
  <c r="I339" i="1" s="1"/>
  <c r="D338" i="1"/>
  <c r="G338" i="1" s="1"/>
  <c r="I338" i="1" s="1"/>
  <c r="G337" i="1"/>
  <c r="I337" i="1" s="1"/>
  <c r="D337" i="1"/>
  <c r="D336" i="1"/>
  <c r="G336" i="1" s="1"/>
  <c r="I336" i="1" s="1"/>
  <c r="D335" i="1"/>
  <c r="G335" i="1" s="1"/>
  <c r="I335" i="1" s="1"/>
  <c r="D334" i="1"/>
  <c r="G334" i="1" s="1"/>
  <c r="I334" i="1" s="1"/>
  <c r="D333" i="1"/>
  <c r="G333" i="1" s="1"/>
  <c r="I333" i="1" s="1"/>
  <c r="D332" i="1"/>
  <c r="G332" i="1" s="1"/>
  <c r="I332" i="1" s="1"/>
  <c r="D331" i="1"/>
  <c r="G331" i="1" s="1"/>
  <c r="I331" i="1" s="1"/>
  <c r="D330" i="1"/>
  <c r="G330" i="1" s="1"/>
  <c r="I330" i="1" s="1"/>
  <c r="G329" i="1"/>
  <c r="I329" i="1" s="1"/>
  <c r="D329" i="1"/>
  <c r="D328" i="1"/>
  <c r="G328" i="1" s="1"/>
  <c r="I328" i="1" s="1"/>
  <c r="D327" i="1"/>
  <c r="G327" i="1" s="1"/>
  <c r="I327" i="1" s="1"/>
  <c r="D326" i="1"/>
  <c r="G326" i="1" s="1"/>
  <c r="I326" i="1" s="1"/>
  <c r="G325" i="1"/>
  <c r="I325" i="1" s="1"/>
  <c r="D325" i="1"/>
  <c r="D324" i="1"/>
  <c r="G324" i="1" s="1"/>
  <c r="I324" i="1" s="1"/>
  <c r="D323" i="1"/>
  <c r="G323" i="1" s="1"/>
  <c r="I323" i="1" s="1"/>
  <c r="D322" i="1"/>
  <c r="G322" i="1" s="1"/>
  <c r="I322" i="1" s="1"/>
  <c r="G321" i="1"/>
  <c r="I321" i="1" s="1"/>
  <c r="D321" i="1"/>
  <c r="D320" i="1"/>
  <c r="G320" i="1" s="1"/>
  <c r="I320" i="1" s="1"/>
  <c r="D319" i="1"/>
  <c r="G319" i="1" s="1"/>
  <c r="I319" i="1" s="1"/>
  <c r="D318" i="1"/>
  <c r="G318" i="1" s="1"/>
  <c r="I318" i="1" s="1"/>
  <c r="D317" i="1"/>
  <c r="G317" i="1" s="1"/>
  <c r="I317" i="1" s="1"/>
  <c r="D316" i="1"/>
  <c r="G316" i="1" s="1"/>
  <c r="I316" i="1" s="1"/>
  <c r="D315" i="1"/>
  <c r="G315" i="1" s="1"/>
  <c r="I315" i="1" s="1"/>
  <c r="D314" i="1"/>
  <c r="G314" i="1" s="1"/>
  <c r="I314" i="1" s="1"/>
  <c r="G313" i="1"/>
  <c r="I313" i="1" s="1"/>
  <c r="D313" i="1"/>
  <c r="D312" i="1"/>
  <c r="G312" i="1" s="1"/>
  <c r="I312" i="1" s="1"/>
  <c r="D311" i="1"/>
  <c r="G311" i="1" s="1"/>
  <c r="I311" i="1" s="1"/>
  <c r="D310" i="1"/>
  <c r="G310" i="1" s="1"/>
  <c r="I310" i="1" s="1"/>
  <c r="G309" i="1"/>
  <c r="I309" i="1" s="1"/>
  <c r="D309" i="1"/>
  <c r="D308" i="1"/>
  <c r="G308" i="1" s="1"/>
  <c r="I308" i="1" s="1"/>
  <c r="D307" i="1"/>
  <c r="G307" i="1" s="1"/>
  <c r="I307" i="1" s="1"/>
  <c r="D306" i="1"/>
  <c r="G306" i="1" s="1"/>
  <c r="I306" i="1" s="1"/>
  <c r="D305" i="1"/>
  <c r="G305" i="1" s="1"/>
  <c r="D304" i="1"/>
  <c r="G304" i="1" s="1"/>
  <c r="I304" i="1" s="1"/>
  <c r="D303" i="1"/>
  <c r="G303" i="1" s="1"/>
  <c r="I303" i="1" s="1"/>
  <c r="G302" i="1"/>
  <c r="I302" i="1" s="1"/>
  <c r="D302" i="1"/>
  <c r="D301" i="1"/>
  <c r="G301" i="1" s="1"/>
  <c r="I301" i="1" s="1"/>
  <c r="D300" i="1"/>
  <c r="G300" i="1" s="1"/>
  <c r="I300" i="1" s="1"/>
  <c r="D299" i="1"/>
  <c r="G299" i="1" s="1"/>
  <c r="I299" i="1" s="1"/>
  <c r="G298" i="1"/>
  <c r="I298" i="1" s="1"/>
  <c r="D298" i="1"/>
  <c r="D297" i="1"/>
  <c r="G297" i="1" s="1"/>
  <c r="I297" i="1" s="1"/>
  <c r="D296" i="1"/>
  <c r="G296" i="1" s="1"/>
  <c r="I296" i="1" s="1"/>
  <c r="D295" i="1"/>
  <c r="G295" i="1" s="1"/>
  <c r="I295" i="1" s="1"/>
  <c r="G294" i="1"/>
  <c r="I294" i="1" s="1"/>
  <c r="D294" i="1"/>
  <c r="D293" i="1"/>
  <c r="G293" i="1" s="1"/>
  <c r="I293" i="1" s="1"/>
  <c r="D292" i="1"/>
  <c r="G292" i="1" s="1"/>
  <c r="I292" i="1" s="1"/>
  <c r="D291" i="1"/>
  <c r="G291" i="1" s="1"/>
  <c r="I291" i="1" s="1"/>
  <c r="D290" i="1"/>
  <c r="G290" i="1" s="1"/>
  <c r="I290" i="1" s="1"/>
  <c r="D289" i="1"/>
  <c r="G289" i="1" s="1"/>
  <c r="I289" i="1" s="1"/>
  <c r="D288" i="1"/>
  <c r="G288" i="1" s="1"/>
  <c r="I288" i="1" s="1"/>
  <c r="D287" i="1"/>
  <c r="G287" i="1" s="1"/>
  <c r="I287" i="1" s="1"/>
  <c r="G286" i="1"/>
  <c r="I286" i="1" s="1"/>
  <c r="D286" i="1"/>
  <c r="D285" i="1"/>
  <c r="G285" i="1" s="1"/>
  <c r="I285" i="1" s="1"/>
  <c r="D284" i="1"/>
  <c r="G284" i="1" s="1"/>
  <c r="I284" i="1" s="1"/>
  <c r="D283" i="1"/>
  <c r="G283" i="1" s="1"/>
  <c r="I283" i="1" s="1"/>
  <c r="G282" i="1"/>
  <c r="I282" i="1" s="1"/>
  <c r="D282" i="1"/>
  <c r="D281" i="1"/>
  <c r="G281" i="1" s="1"/>
  <c r="I281" i="1" s="1"/>
  <c r="D280" i="1"/>
  <c r="G280" i="1" s="1"/>
  <c r="I280" i="1" s="1"/>
  <c r="G279" i="1"/>
  <c r="I279" i="1" s="1"/>
  <c r="D277" i="1"/>
  <c r="G277" i="1" s="1"/>
  <c r="I277" i="1" s="1"/>
  <c r="G276" i="1"/>
  <c r="I276" i="1" s="1"/>
  <c r="D276" i="1"/>
  <c r="D275" i="1"/>
  <c r="G275" i="1" s="1"/>
  <c r="I275" i="1" s="1"/>
  <c r="D274" i="1"/>
  <c r="G274" i="1" s="1"/>
  <c r="I274" i="1" s="1"/>
  <c r="D273" i="1"/>
  <c r="G273" i="1" s="1"/>
  <c r="I273" i="1" s="1"/>
  <c r="G272" i="1"/>
  <c r="I272" i="1" s="1"/>
  <c r="D272" i="1"/>
  <c r="D271" i="1"/>
  <c r="G271" i="1" s="1"/>
  <c r="I271" i="1" s="1"/>
  <c r="D270" i="1"/>
  <c r="G270" i="1" s="1"/>
  <c r="I270" i="1" s="1"/>
  <c r="D269" i="1"/>
  <c r="G269" i="1" s="1"/>
  <c r="I269" i="1" s="1"/>
  <c r="D268" i="1"/>
  <c r="G268" i="1" s="1"/>
  <c r="I268" i="1" s="1"/>
  <c r="D267" i="1"/>
  <c r="G267" i="1" s="1"/>
  <c r="I267" i="1" s="1"/>
  <c r="D266" i="1"/>
  <c r="G266" i="1" s="1"/>
  <c r="I266" i="1" s="1"/>
  <c r="D265" i="1"/>
  <c r="G265" i="1" s="1"/>
  <c r="I265" i="1" s="1"/>
  <c r="G264" i="1"/>
  <c r="I264" i="1" s="1"/>
  <c r="D264" i="1"/>
  <c r="D263" i="1"/>
  <c r="G263" i="1" s="1"/>
  <c r="I263" i="1" s="1"/>
  <c r="D262" i="1"/>
  <c r="G262" i="1" s="1"/>
  <c r="I262" i="1" s="1"/>
  <c r="D261" i="1"/>
  <c r="G261" i="1" s="1"/>
  <c r="I261" i="1" s="1"/>
  <c r="G260" i="1"/>
  <c r="I260" i="1" s="1"/>
  <c r="D260" i="1"/>
  <c r="D259" i="1"/>
  <c r="G259" i="1" s="1"/>
  <c r="I259" i="1" s="1"/>
  <c r="D258" i="1"/>
  <c r="G258" i="1" s="1"/>
  <c r="I258" i="1" s="1"/>
  <c r="D257" i="1"/>
  <c r="G257" i="1" s="1"/>
  <c r="I257" i="1" s="1"/>
  <c r="G256" i="1"/>
  <c r="I256" i="1" s="1"/>
  <c r="D256" i="1"/>
  <c r="D255" i="1"/>
  <c r="G255" i="1" s="1"/>
  <c r="I255" i="1" s="1"/>
  <c r="I254" i="1"/>
  <c r="D254" i="1"/>
  <c r="D253" i="1"/>
  <c r="G253" i="1" s="1"/>
  <c r="I253" i="1" s="1"/>
  <c r="D252" i="1"/>
  <c r="G252" i="1" s="1"/>
  <c r="I252" i="1" s="1"/>
  <c r="G251" i="1"/>
  <c r="I251" i="1" s="1"/>
  <c r="D251" i="1"/>
  <c r="D250" i="1"/>
  <c r="G250" i="1" s="1"/>
  <c r="I250" i="1" s="1"/>
  <c r="D249" i="1"/>
  <c r="G249" i="1" s="1"/>
  <c r="I249" i="1" s="1"/>
  <c r="D248" i="1"/>
  <c r="G248" i="1" s="1"/>
  <c r="I248" i="1" s="1"/>
  <c r="D247" i="1"/>
  <c r="G247" i="1" s="1"/>
  <c r="I247" i="1" s="1"/>
  <c r="D246" i="1"/>
  <c r="G246" i="1" s="1"/>
  <c r="I246" i="1" s="1"/>
  <c r="D245" i="1"/>
  <c r="G245" i="1" s="1"/>
  <c r="I245" i="1" s="1"/>
  <c r="D244" i="1"/>
  <c r="G244" i="1" s="1"/>
  <c r="I244" i="1" s="1"/>
  <c r="G243" i="1"/>
  <c r="I243" i="1" s="1"/>
  <c r="D243" i="1"/>
  <c r="D242" i="1"/>
  <c r="G242" i="1" s="1"/>
  <c r="D241" i="1"/>
  <c r="G241" i="1" s="1"/>
  <c r="I241" i="1" s="1"/>
  <c r="D240" i="1"/>
  <c r="G240" i="1" s="1"/>
  <c r="I240" i="1" s="1"/>
  <c r="D239" i="1"/>
  <c r="G239" i="1" s="1"/>
  <c r="I239" i="1" s="1"/>
  <c r="G238" i="1"/>
  <c r="I238" i="1" s="1"/>
  <c r="D238" i="1"/>
  <c r="D237" i="1"/>
  <c r="G237" i="1" s="1"/>
  <c r="I237" i="1" s="1"/>
  <c r="D236" i="1"/>
  <c r="G236" i="1" s="1"/>
  <c r="I236" i="1" s="1"/>
  <c r="D235" i="1"/>
  <c r="G235" i="1" s="1"/>
  <c r="I235" i="1" s="1"/>
  <c r="G234" i="1"/>
  <c r="I234" i="1" s="1"/>
  <c r="D234" i="1"/>
  <c r="D233" i="1"/>
  <c r="G233" i="1" s="1"/>
  <c r="I233" i="1" s="1"/>
  <c r="D232" i="1"/>
  <c r="G232" i="1" s="1"/>
  <c r="I232" i="1" s="1"/>
  <c r="D231" i="1"/>
  <c r="G231" i="1" s="1"/>
  <c r="I231" i="1" s="1"/>
  <c r="G230" i="1"/>
  <c r="I230" i="1" s="1"/>
  <c r="D230" i="1"/>
  <c r="D229" i="1"/>
  <c r="G229" i="1" s="1"/>
  <c r="I229" i="1" s="1"/>
  <c r="D228" i="1"/>
  <c r="G228" i="1" s="1"/>
  <c r="I228" i="1" s="1"/>
  <c r="D227" i="1"/>
  <c r="G227" i="1" s="1"/>
  <c r="I227" i="1" s="1"/>
  <c r="D226" i="1"/>
  <c r="G226" i="1" s="1"/>
  <c r="I226" i="1" s="1"/>
  <c r="D225" i="1"/>
  <c r="G225" i="1" s="1"/>
  <c r="I225" i="1" s="1"/>
  <c r="D224" i="1"/>
  <c r="G224" i="1" s="1"/>
  <c r="I224" i="1" s="1"/>
  <c r="D223" i="1"/>
  <c r="G223" i="1" s="1"/>
  <c r="I223" i="1" s="1"/>
  <c r="G222" i="1"/>
  <c r="I222" i="1" s="1"/>
  <c r="D222" i="1"/>
  <c r="D221" i="1"/>
  <c r="G221" i="1" s="1"/>
  <c r="I221" i="1" s="1"/>
  <c r="D220" i="1"/>
  <c r="G220" i="1" s="1"/>
  <c r="I220" i="1" s="1"/>
  <c r="D219" i="1"/>
  <c r="G219" i="1" s="1"/>
  <c r="I219" i="1" s="1"/>
  <c r="G218" i="1"/>
  <c r="I218" i="1" s="1"/>
  <c r="D218" i="1"/>
  <c r="D217" i="1"/>
  <c r="G217" i="1" s="1"/>
  <c r="I217" i="1" s="1"/>
  <c r="D216" i="1"/>
  <c r="G216" i="1" s="1"/>
  <c r="I216" i="1" s="1"/>
  <c r="D215" i="1"/>
  <c r="G215" i="1" s="1"/>
  <c r="I215" i="1" s="1"/>
  <c r="G214" i="1"/>
  <c r="I214" i="1" s="1"/>
  <c r="D214" i="1"/>
  <c r="D213" i="1"/>
  <c r="G213" i="1" s="1"/>
  <c r="I213" i="1" s="1"/>
  <c r="D212" i="1"/>
  <c r="G212" i="1" s="1"/>
  <c r="I212" i="1" s="1"/>
  <c r="D211" i="1"/>
  <c r="G211" i="1" s="1"/>
  <c r="I211" i="1" s="1"/>
  <c r="D209" i="1"/>
  <c r="G209" i="1" s="1"/>
  <c r="I209" i="1" s="1"/>
  <c r="D208" i="1"/>
  <c r="G208" i="1" s="1"/>
  <c r="I208" i="1" s="1"/>
  <c r="D207" i="1"/>
  <c r="G207" i="1" s="1"/>
  <c r="G206" i="1"/>
  <c r="I206" i="1" s="1"/>
  <c r="D206" i="1"/>
  <c r="I205" i="1"/>
  <c r="D205" i="1"/>
  <c r="G205" i="1" s="1"/>
  <c r="D204" i="1"/>
  <c r="G204" i="1" s="1"/>
  <c r="I204" i="1" s="1"/>
  <c r="I203" i="1"/>
  <c r="D203" i="1"/>
  <c r="G203" i="1" s="1"/>
  <c r="G202" i="1"/>
  <c r="I202" i="1" s="1"/>
  <c r="D202" i="1"/>
  <c r="I201" i="1"/>
  <c r="D201" i="1"/>
  <c r="G201" i="1" s="1"/>
  <c r="D200" i="1"/>
  <c r="G200" i="1" s="1"/>
  <c r="I200" i="1" s="1"/>
  <c r="I199" i="1"/>
  <c r="D199" i="1"/>
  <c r="G199" i="1" s="1"/>
  <c r="G198" i="1"/>
  <c r="I198" i="1" s="1"/>
  <c r="D198" i="1"/>
  <c r="I197" i="1"/>
  <c r="D197" i="1"/>
  <c r="G197" i="1" s="1"/>
  <c r="D196" i="1"/>
  <c r="G196" i="1" s="1"/>
  <c r="I196" i="1" s="1"/>
  <c r="I195" i="1"/>
  <c r="D195" i="1"/>
  <c r="G195" i="1" s="1"/>
  <c r="N194" i="1"/>
  <c r="D194" i="1"/>
  <c r="G194" i="1" s="1"/>
  <c r="I194" i="1" s="1"/>
  <c r="G193" i="1"/>
  <c r="I193" i="1" s="1"/>
  <c r="D193" i="1"/>
  <c r="D192" i="1"/>
  <c r="G192" i="1" s="1"/>
  <c r="I192" i="1" s="1"/>
  <c r="D191" i="1"/>
  <c r="G191" i="1" s="1"/>
  <c r="I191" i="1" s="1"/>
  <c r="D190" i="1"/>
  <c r="G190" i="1" s="1"/>
  <c r="I190" i="1" s="1"/>
  <c r="G189" i="1"/>
  <c r="I189" i="1" s="1"/>
  <c r="D189" i="1"/>
  <c r="D188" i="1"/>
  <c r="G188" i="1" s="1"/>
  <c r="I188" i="1" s="1"/>
  <c r="D187" i="1"/>
  <c r="G187" i="1" s="1"/>
  <c r="I187" i="1" s="1"/>
  <c r="D186" i="1"/>
  <c r="G186" i="1" s="1"/>
  <c r="I186" i="1" s="1"/>
  <c r="G185" i="1"/>
  <c r="I185" i="1" s="1"/>
  <c r="D185" i="1"/>
  <c r="D184" i="1"/>
  <c r="G184" i="1" s="1"/>
  <c r="I184" i="1" s="1"/>
  <c r="D183" i="1"/>
  <c r="G183" i="1" s="1"/>
  <c r="I183" i="1" s="1"/>
  <c r="D182" i="1"/>
  <c r="G182" i="1" s="1"/>
  <c r="D181" i="1"/>
  <c r="G181" i="1" s="1"/>
  <c r="D180" i="1"/>
  <c r="G180" i="1" s="1"/>
  <c r="I180" i="1" s="1"/>
  <c r="G179" i="1"/>
  <c r="I179" i="1" s="1"/>
  <c r="D179" i="1"/>
  <c r="D178" i="1"/>
  <c r="G178" i="1" s="1"/>
  <c r="I178" i="1" s="1"/>
  <c r="D177" i="1"/>
  <c r="G177" i="1" s="1"/>
  <c r="I177" i="1" s="1"/>
  <c r="D176" i="1"/>
  <c r="G176" i="1" s="1"/>
  <c r="I176" i="1" s="1"/>
  <c r="G175" i="1"/>
  <c r="I175" i="1" s="1"/>
  <c r="D175" i="1"/>
  <c r="D174" i="1"/>
  <c r="G174" i="1" s="1"/>
  <c r="I174" i="1" s="1"/>
  <c r="D173" i="1"/>
  <c r="G173" i="1" s="1"/>
  <c r="I173" i="1" s="1"/>
  <c r="D172" i="1"/>
  <c r="G172" i="1" s="1"/>
  <c r="I172" i="1" s="1"/>
  <c r="D171" i="1"/>
  <c r="G171" i="1" s="1"/>
  <c r="I171" i="1" s="1"/>
  <c r="D170" i="1"/>
  <c r="G170" i="1" s="1"/>
  <c r="I170" i="1" s="1"/>
  <c r="D169" i="1"/>
  <c r="G169" i="1" s="1"/>
  <c r="I169" i="1" s="1"/>
  <c r="D168" i="1"/>
  <c r="G168" i="1" s="1"/>
  <c r="I168" i="1" s="1"/>
  <c r="G167" i="1"/>
  <c r="I167" i="1" s="1"/>
  <c r="D167" i="1"/>
  <c r="D166" i="1"/>
  <c r="G166" i="1" s="1"/>
  <c r="I166" i="1" s="1"/>
  <c r="D165" i="1"/>
  <c r="G165" i="1" s="1"/>
  <c r="I165" i="1" s="1"/>
  <c r="D164" i="1"/>
  <c r="G164" i="1" s="1"/>
  <c r="I164" i="1" s="1"/>
  <c r="G163" i="1"/>
  <c r="I163" i="1" s="1"/>
  <c r="D163" i="1"/>
  <c r="D162" i="1"/>
  <c r="G162" i="1" s="1"/>
  <c r="I162" i="1" s="1"/>
  <c r="I161" i="1"/>
  <c r="D160" i="1"/>
  <c r="G160" i="1" s="1"/>
  <c r="I160" i="1" s="1"/>
  <c r="G159" i="1"/>
  <c r="I159" i="1" s="1"/>
  <c r="D159" i="1"/>
  <c r="I158" i="1"/>
  <c r="D158" i="1"/>
  <c r="G158" i="1" s="1"/>
  <c r="G157" i="1"/>
  <c r="I157" i="1" s="1"/>
  <c r="D157" i="1"/>
  <c r="D156" i="1"/>
  <c r="G156" i="1" s="1"/>
  <c r="I156" i="1" s="1"/>
  <c r="G155" i="1"/>
  <c r="I155" i="1" s="1"/>
  <c r="D155" i="1"/>
  <c r="I154" i="1"/>
  <c r="D154" i="1"/>
  <c r="I153" i="1"/>
  <c r="D153" i="1"/>
  <c r="G153" i="1" s="1"/>
  <c r="D152" i="1"/>
  <c r="G152" i="1" s="1"/>
  <c r="I152" i="1" s="1"/>
  <c r="I151" i="1"/>
  <c r="D151" i="1"/>
  <c r="G151" i="1" s="1"/>
  <c r="G150" i="1"/>
  <c r="I150" i="1" s="1"/>
  <c r="D150" i="1"/>
  <c r="I149" i="1"/>
  <c r="D149" i="1"/>
  <c r="G149" i="1" s="1"/>
  <c r="D148" i="1"/>
  <c r="G148" i="1" s="1"/>
  <c r="I148" i="1" s="1"/>
  <c r="I147" i="1"/>
  <c r="D147" i="1"/>
  <c r="G147" i="1" s="1"/>
  <c r="G146" i="1"/>
  <c r="I146" i="1" s="1"/>
  <c r="D146" i="1"/>
  <c r="I145" i="1"/>
  <c r="D145" i="1"/>
  <c r="G145" i="1" s="1"/>
  <c r="D144" i="1"/>
  <c r="G144" i="1" s="1"/>
  <c r="I144" i="1" s="1"/>
  <c r="I143" i="1"/>
  <c r="D143" i="1"/>
  <c r="G143" i="1" s="1"/>
  <c r="G142" i="1"/>
  <c r="I142" i="1" s="1"/>
  <c r="D142" i="1"/>
  <c r="I141" i="1"/>
  <c r="D141" i="1"/>
  <c r="G141" i="1" s="1"/>
  <c r="D140" i="1"/>
  <c r="G140" i="1" s="1"/>
  <c r="I140" i="1" s="1"/>
  <c r="I139" i="1"/>
  <c r="D139" i="1"/>
  <c r="G139" i="1" s="1"/>
  <c r="G138" i="1"/>
  <c r="I138" i="1" s="1"/>
  <c r="D138" i="1"/>
  <c r="I137" i="1"/>
  <c r="D137" i="1"/>
  <c r="G137" i="1" s="1"/>
  <c r="D136" i="1"/>
  <c r="G136" i="1" s="1"/>
  <c r="I136" i="1" s="1"/>
  <c r="I135" i="1"/>
  <c r="D135" i="1"/>
  <c r="G135" i="1" s="1"/>
  <c r="G134" i="1"/>
  <c r="I134" i="1" s="1"/>
  <c r="D134" i="1"/>
  <c r="I133" i="1"/>
  <c r="D133" i="1"/>
  <c r="G133" i="1" s="1"/>
  <c r="D132" i="1"/>
  <c r="G132" i="1" s="1"/>
  <c r="I132" i="1" s="1"/>
  <c r="I131" i="1"/>
  <c r="D131" i="1"/>
  <c r="G131" i="1" s="1"/>
  <c r="G130" i="1"/>
  <c r="I130" i="1" s="1"/>
  <c r="D130" i="1"/>
  <c r="I129" i="1"/>
  <c r="D129" i="1"/>
  <c r="G129" i="1" s="1"/>
  <c r="D128" i="1"/>
  <c r="G128" i="1" s="1"/>
  <c r="I128" i="1" s="1"/>
  <c r="I127" i="1"/>
  <c r="D127" i="1"/>
  <c r="G127" i="1" s="1"/>
  <c r="G126" i="1"/>
  <c r="I126" i="1" s="1"/>
  <c r="D126" i="1"/>
  <c r="I125" i="1"/>
  <c r="D125" i="1"/>
  <c r="G125" i="1" s="1"/>
  <c r="D124" i="1"/>
  <c r="G124" i="1" s="1"/>
  <c r="I124" i="1" s="1"/>
  <c r="I123" i="1"/>
  <c r="D123" i="1"/>
  <c r="G123" i="1" s="1"/>
  <c r="G122" i="1"/>
  <c r="I122" i="1" s="1"/>
  <c r="D122" i="1"/>
  <c r="I121" i="1"/>
  <c r="D121" i="1"/>
  <c r="G121" i="1" s="1"/>
  <c r="D120" i="1"/>
  <c r="G120" i="1" s="1"/>
  <c r="I120" i="1" s="1"/>
  <c r="I119" i="1"/>
  <c r="D119" i="1"/>
  <c r="G119" i="1" s="1"/>
  <c r="G118" i="1"/>
  <c r="I118" i="1" s="1"/>
  <c r="D118" i="1"/>
  <c r="I117" i="1"/>
  <c r="D117" i="1"/>
  <c r="G117" i="1" s="1"/>
  <c r="D116" i="1"/>
  <c r="G116" i="1" s="1"/>
  <c r="I116" i="1" s="1"/>
  <c r="I115" i="1"/>
  <c r="D115" i="1"/>
  <c r="G115" i="1" s="1"/>
  <c r="G114" i="1"/>
  <c r="I114" i="1" s="1"/>
  <c r="D114" i="1"/>
  <c r="I113" i="1"/>
  <c r="D113" i="1"/>
  <c r="G113" i="1" s="1"/>
  <c r="D112" i="1"/>
  <c r="G112" i="1" s="1"/>
  <c r="I112" i="1" s="1"/>
  <c r="I110" i="1"/>
  <c r="D110" i="1"/>
  <c r="G110" i="1" s="1"/>
  <c r="D109" i="1"/>
  <c r="G109" i="1" s="1"/>
  <c r="I109" i="1" s="1"/>
  <c r="D108" i="1"/>
  <c r="G108" i="1" s="1"/>
  <c r="I108" i="1" s="1"/>
  <c r="D107" i="1"/>
  <c r="G107" i="1" s="1"/>
  <c r="I107" i="1" s="1"/>
  <c r="D106" i="1"/>
  <c r="G106" i="1" s="1"/>
  <c r="I106" i="1" s="1"/>
  <c r="D105" i="1"/>
  <c r="G105" i="1" s="1"/>
  <c r="I105" i="1" s="1"/>
  <c r="D104" i="1"/>
  <c r="G104" i="1" s="1"/>
  <c r="I104" i="1" s="1"/>
  <c r="D103" i="1"/>
  <c r="G103" i="1" s="1"/>
  <c r="I103" i="1" s="1"/>
  <c r="G102" i="1"/>
  <c r="I102" i="1" s="1"/>
  <c r="D102" i="1"/>
  <c r="D101" i="1"/>
  <c r="G101" i="1" s="1"/>
  <c r="I101" i="1" s="1"/>
  <c r="D100" i="1"/>
  <c r="G100" i="1" s="1"/>
  <c r="I100" i="1" s="1"/>
  <c r="D99" i="1"/>
  <c r="G99" i="1" s="1"/>
  <c r="I99" i="1" s="1"/>
  <c r="G98" i="1"/>
  <c r="I98" i="1" s="1"/>
  <c r="D98" i="1"/>
  <c r="D97" i="1"/>
  <c r="G97" i="1" s="1"/>
  <c r="I97" i="1" s="1"/>
  <c r="G96" i="1"/>
  <c r="I96" i="1" s="1"/>
  <c r="D96" i="1"/>
  <c r="D95" i="1"/>
  <c r="G95" i="1" s="1"/>
  <c r="I95" i="1" s="1"/>
  <c r="G94" i="1"/>
  <c r="I94" i="1" s="1"/>
  <c r="D94" i="1"/>
  <c r="D93" i="1"/>
  <c r="G93" i="1" s="1"/>
  <c r="I93" i="1" s="1"/>
  <c r="D92" i="1"/>
  <c r="G92" i="1" s="1"/>
  <c r="I92" i="1" s="1"/>
  <c r="I91" i="1"/>
  <c r="G91" i="1"/>
  <c r="D90" i="1"/>
  <c r="G90" i="1" s="1"/>
  <c r="I90" i="1" s="1"/>
  <c r="G89" i="1"/>
  <c r="I89" i="1" s="1"/>
  <c r="D89" i="1"/>
  <c r="D88" i="1"/>
  <c r="G88" i="1" s="1"/>
  <c r="I88" i="1" s="1"/>
  <c r="D87" i="1"/>
  <c r="G87" i="1" s="1"/>
  <c r="I87" i="1" s="1"/>
  <c r="D86" i="1"/>
  <c r="G86" i="1" s="1"/>
  <c r="I86" i="1" s="1"/>
  <c r="D85" i="1"/>
  <c r="G85" i="1" s="1"/>
  <c r="I85" i="1" s="1"/>
  <c r="D84" i="1"/>
  <c r="G84" i="1" s="1"/>
  <c r="I84" i="1" s="1"/>
  <c r="D83" i="1"/>
  <c r="G83" i="1" s="1"/>
  <c r="I83" i="1" s="1"/>
  <c r="D82" i="1"/>
  <c r="G82" i="1" s="1"/>
  <c r="I82" i="1" s="1"/>
  <c r="G80" i="1"/>
  <c r="I80" i="1" s="1"/>
  <c r="D80" i="1"/>
  <c r="D79" i="1"/>
  <c r="G79" i="1" s="1"/>
  <c r="I79" i="1" s="1"/>
  <c r="D78" i="1"/>
  <c r="G78" i="1" s="1"/>
  <c r="I78" i="1" s="1"/>
  <c r="D77" i="1"/>
  <c r="G77" i="1" s="1"/>
  <c r="I77" i="1" s="1"/>
  <c r="G76" i="1"/>
  <c r="I76" i="1" s="1"/>
  <c r="D76" i="1"/>
  <c r="D75" i="1"/>
  <c r="G75" i="1" s="1"/>
  <c r="I75" i="1" s="1"/>
  <c r="G74" i="1"/>
  <c r="I74" i="1" s="1"/>
  <c r="D74" i="1"/>
  <c r="D73" i="1"/>
  <c r="G73" i="1" s="1"/>
  <c r="I73" i="1" s="1"/>
  <c r="G72" i="1"/>
  <c r="I72" i="1" s="1"/>
  <c r="D72" i="1"/>
  <c r="D71" i="1"/>
  <c r="G71" i="1" s="1"/>
  <c r="I71" i="1" s="1"/>
  <c r="D70" i="1"/>
  <c r="G70" i="1" s="1"/>
  <c r="I70" i="1" s="1"/>
  <c r="D69" i="1"/>
  <c r="G69" i="1" s="1"/>
  <c r="I69" i="1" s="1"/>
  <c r="D68" i="1"/>
  <c r="G68" i="1" s="1"/>
  <c r="I68" i="1" s="1"/>
  <c r="D67" i="1"/>
  <c r="G67" i="1" s="1"/>
  <c r="I67" i="1" s="1"/>
  <c r="D66" i="1"/>
  <c r="G66" i="1" s="1"/>
  <c r="I66" i="1" s="1"/>
  <c r="D65" i="1"/>
  <c r="G65" i="1" s="1"/>
  <c r="I65" i="1" s="1"/>
  <c r="G64" i="1"/>
  <c r="I64" i="1" s="1"/>
  <c r="D64" i="1"/>
  <c r="D63" i="1"/>
  <c r="G63" i="1" s="1"/>
  <c r="I63" i="1" s="1"/>
  <c r="D62" i="1"/>
  <c r="G62" i="1" s="1"/>
  <c r="I62" i="1" s="1"/>
  <c r="D61" i="1"/>
  <c r="G61" i="1" s="1"/>
  <c r="I61" i="1" s="1"/>
  <c r="G60" i="1"/>
  <c r="I60" i="1" s="1"/>
  <c r="D60" i="1"/>
  <c r="D59" i="1"/>
  <c r="G59" i="1" s="1"/>
  <c r="I59" i="1" s="1"/>
  <c r="G58" i="1"/>
  <c r="I58" i="1" s="1"/>
  <c r="D58" i="1"/>
  <c r="D57" i="1"/>
  <c r="G57" i="1" s="1"/>
  <c r="I57" i="1" s="1"/>
  <c r="G56" i="1"/>
  <c r="I56" i="1" s="1"/>
  <c r="D56" i="1"/>
  <c r="D55" i="1"/>
  <c r="G55" i="1" s="1"/>
  <c r="I55" i="1" s="1"/>
  <c r="D54" i="1"/>
  <c r="G54" i="1" s="1"/>
  <c r="I54" i="1" s="1"/>
  <c r="D53" i="1"/>
  <c r="G53" i="1" s="1"/>
  <c r="I53" i="1" s="1"/>
  <c r="D52" i="1"/>
  <c r="G52" i="1" s="1"/>
  <c r="I52" i="1" s="1"/>
  <c r="D51" i="1"/>
  <c r="G51" i="1" s="1"/>
  <c r="I51" i="1" s="1"/>
  <c r="D50" i="1"/>
  <c r="G50" i="1" s="1"/>
  <c r="I50" i="1" s="1"/>
  <c r="D49" i="1"/>
  <c r="G49" i="1" s="1"/>
  <c r="I49" i="1" s="1"/>
  <c r="G48" i="1"/>
  <c r="I48" i="1" s="1"/>
  <c r="D48" i="1"/>
  <c r="D47" i="1"/>
  <c r="G47" i="1" s="1"/>
  <c r="I47" i="1" s="1"/>
  <c r="D46" i="1"/>
  <c r="G46" i="1" s="1"/>
  <c r="I46" i="1" s="1"/>
  <c r="D45" i="1"/>
  <c r="G45" i="1" s="1"/>
  <c r="I45" i="1" s="1"/>
  <c r="G44" i="1"/>
  <c r="I44" i="1" s="1"/>
  <c r="D44" i="1"/>
  <c r="D43" i="1"/>
  <c r="G43" i="1" s="1"/>
  <c r="I43" i="1" s="1"/>
  <c r="D42" i="1"/>
  <c r="G42" i="1" s="1"/>
  <c r="I42" i="1" s="1"/>
  <c r="D41" i="1"/>
  <c r="G41" i="1" s="1"/>
  <c r="I41" i="1" s="1"/>
  <c r="G40" i="1"/>
  <c r="I40" i="1" s="1"/>
  <c r="D40" i="1"/>
  <c r="D39" i="1"/>
  <c r="G39" i="1" s="1"/>
  <c r="I39" i="1" s="1"/>
  <c r="D38" i="1"/>
  <c r="G38" i="1" s="1"/>
  <c r="I38" i="1" s="1"/>
  <c r="D37" i="1"/>
  <c r="G37" i="1" s="1"/>
  <c r="I37" i="1" s="1"/>
  <c r="D36" i="1"/>
  <c r="G36" i="1" s="1"/>
  <c r="I36" i="1" s="1"/>
  <c r="D35" i="1"/>
  <c r="G35" i="1" s="1"/>
  <c r="I35" i="1" s="1"/>
  <c r="D34" i="1"/>
  <c r="G34" i="1" s="1"/>
  <c r="I34" i="1" s="1"/>
  <c r="D33" i="1"/>
  <c r="G33" i="1" s="1"/>
  <c r="I33" i="1" s="1"/>
  <c r="G32" i="1"/>
  <c r="I32" i="1" s="1"/>
  <c r="D32" i="1"/>
  <c r="D31" i="1"/>
  <c r="G31" i="1" s="1"/>
  <c r="I31" i="1" s="1"/>
  <c r="D30" i="1"/>
  <c r="G30" i="1" s="1"/>
  <c r="I30" i="1" s="1"/>
  <c r="D29" i="1"/>
  <c r="G29" i="1" s="1"/>
  <c r="I29" i="1" s="1"/>
  <c r="G28" i="1"/>
  <c r="I28" i="1" s="1"/>
  <c r="D28" i="1"/>
  <c r="I27" i="1"/>
  <c r="G27" i="1"/>
  <c r="D26" i="1"/>
  <c r="G26" i="1" s="1"/>
  <c r="I26" i="1" s="1"/>
  <c r="D25" i="1"/>
  <c r="G25" i="1" s="1"/>
  <c r="I25" i="1" s="1"/>
  <c r="D24" i="1"/>
  <c r="G24" i="1" s="1"/>
  <c r="I24" i="1" s="1"/>
  <c r="G23" i="1"/>
  <c r="I23" i="1" s="1"/>
  <c r="D23" i="1"/>
  <c r="D22" i="1"/>
  <c r="G22" i="1" s="1"/>
  <c r="I22" i="1" s="1"/>
  <c r="D21" i="1"/>
  <c r="G21" i="1" s="1"/>
  <c r="I21" i="1" s="1"/>
  <c r="D20" i="1"/>
  <c r="G20" i="1" s="1"/>
  <c r="I20" i="1" s="1"/>
  <c r="G19" i="1"/>
  <c r="I19" i="1" s="1"/>
  <c r="D19" i="1"/>
  <c r="D18" i="1"/>
  <c r="G18" i="1" s="1"/>
  <c r="I18" i="1" s="1"/>
  <c r="D17" i="1"/>
  <c r="G17" i="1" s="1"/>
  <c r="I17" i="1" s="1"/>
  <c r="D16" i="1"/>
  <c r="G16" i="1" s="1"/>
  <c r="I16" i="1" s="1"/>
  <c r="D15" i="1"/>
  <c r="G15" i="1" s="1"/>
  <c r="I15" i="1" s="1"/>
  <c r="D14" i="1"/>
  <c r="G14" i="1" s="1"/>
  <c r="I14" i="1" s="1"/>
  <c r="D13" i="1"/>
  <c r="G13" i="1" s="1"/>
  <c r="I13" i="1" s="1"/>
  <c r="D12" i="1"/>
  <c r="G12" i="1" s="1"/>
  <c r="I12" i="1" s="1"/>
  <c r="G11" i="1"/>
  <c r="I11" i="1" s="1"/>
  <c r="D11" i="1"/>
  <c r="D10" i="1"/>
  <c r="G10" i="1" s="1"/>
  <c r="I10" i="1" s="1"/>
  <c r="D9" i="1"/>
  <c r="G9" i="1" s="1"/>
  <c r="I9" i="1" s="1"/>
  <c r="D8" i="1"/>
  <c r="G8" i="1" s="1"/>
  <c r="I8" i="1" s="1"/>
  <c r="G7" i="1"/>
  <c r="I7" i="1" s="1"/>
  <c r="D7" i="1"/>
  <c r="D6" i="1"/>
  <c r="G6" i="1" s="1"/>
  <c r="I6" i="1" s="1"/>
  <c r="D5" i="1"/>
  <c r="G5" i="1" s="1"/>
  <c r="I5" i="1" s="1"/>
  <c r="M7" i="2" l="1"/>
  <c r="M19" i="2"/>
  <c r="M24" i="2"/>
  <c r="M27" i="2"/>
  <c r="G35" i="2"/>
  <c r="M13" i="2"/>
  <c r="M21" i="2"/>
  <c r="M28" i="2"/>
  <c r="M31" i="2"/>
  <c r="H54" i="2"/>
  <c r="H56" i="2" s="1"/>
  <c r="I376" i="1"/>
  <c r="M18" i="2"/>
  <c r="D32" i="8"/>
  <c r="E26" i="8"/>
  <c r="H42" i="2"/>
  <c r="T27" i="2"/>
  <c r="T28" i="2" s="1"/>
  <c r="M4" i="2"/>
  <c r="M6" i="2"/>
  <c r="H44" i="2"/>
  <c r="M35" i="2" l="1"/>
  <c r="D45" i="2" s="1"/>
  <c r="D44" i="2"/>
  <c r="D38" i="2"/>
  <c r="D42" i="2"/>
  <c r="D47" i="2"/>
  <c r="D41" i="2"/>
  <c r="D46" i="2"/>
  <c r="D40" i="2"/>
  <c r="D48" i="2"/>
  <c r="D39" i="2"/>
  <c r="D43" i="2"/>
  <c r="H45" i="2"/>
  <c r="H47" i="2" s="1"/>
  <c r="J54" i="2" s="1"/>
  <c r="D375" i="10"/>
  <c r="G375" i="10" s="1"/>
  <c r="I375" i="10" s="1"/>
  <c r="D374" i="10"/>
  <c r="G374" i="10" s="1"/>
  <c r="I374" i="10" s="1"/>
  <c r="D373" i="10"/>
  <c r="G373" i="10" s="1"/>
  <c r="I373" i="10" s="1"/>
  <c r="D372" i="10"/>
  <c r="G372" i="10" s="1"/>
  <c r="I372" i="10" s="1"/>
  <c r="D371" i="10"/>
  <c r="G371" i="10" s="1"/>
  <c r="I371" i="10" s="1"/>
  <c r="D370" i="10"/>
  <c r="G370" i="10" s="1"/>
  <c r="I370" i="10" s="1"/>
  <c r="D369" i="10"/>
  <c r="G369" i="10" s="1"/>
  <c r="I369" i="10" s="1"/>
  <c r="D368" i="10"/>
  <c r="G368" i="10" s="1"/>
  <c r="I368" i="10" s="1"/>
  <c r="D367" i="10"/>
  <c r="G367" i="10" s="1"/>
  <c r="I367" i="10" s="1"/>
  <c r="D366" i="10"/>
  <c r="G366" i="10" s="1"/>
  <c r="I366" i="10" s="1"/>
  <c r="D365" i="10"/>
  <c r="G365" i="10" s="1"/>
  <c r="I365" i="10" s="1"/>
  <c r="D364" i="10"/>
  <c r="G364" i="10" s="1"/>
  <c r="I364" i="10" s="1"/>
  <c r="D363" i="10"/>
  <c r="G363" i="10" s="1"/>
  <c r="I363" i="10" s="1"/>
  <c r="D362" i="10"/>
  <c r="G362" i="10" s="1"/>
  <c r="I362" i="10" s="1"/>
  <c r="D361" i="10"/>
  <c r="G361" i="10" s="1"/>
  <c r="I361" i="10" s="1"/>
  <c r="D360" i="10"/>
  <c r="G360" i="10" s="1"/>
  <c r="I360" i="10" s="1"/>
  <c r="D359" i="10"/>
  <c r="G359" i="10" s="1"/>
  <c r="I359" i="10" s="1"/>
  <c r="D358" i="10"/>
  <c r="G358" i="10" s="1"/>
  <c r="I358" i="10" s="1"/>
  <c r="D357" i="10"/>
  <c r="G357" i="10" s="1"/>
  <c r="I357" i="10" s="1"/>
  <c r="D356" i="10"/>
  <c r="G356" i="10" s="1"/>
  <c r="I356" i="10" s="1"/>
  <c r="D355" i="10"/>
  <c r="G355" i="10" s="1"/>
  <c r="I355" i="10" s="1"/>
  <c r="D354" i="10"/>
  <c r="G354" i="10" s="1"/>
  <c r="I354" i="10" s="1"/>
  <c r="D353" i="10"/>
  <c r="G353" i="10" s="1"/>
  <c r="I353" i="10" s="1"/>
  <c r="D352" i="10"/>
  <c r="G352" i="10" s="1"/>
  <c r="I352" i="10" s="1"/>
  <c r="D351" i="10"/>
  <c r="G351" i="10" s="1"/>
  <c r="I351" i="10" s="1"/>
  <c r="D350" i="10"/>
  <c r="G350" i="10" s="1"/>
  <c r="I350" i="10" s="1"/>
  <c r="D349" i="10"/>
  <c r="G349" i="10" s="1"/>
  <c r="I349" i="10" s="1"/>
  <c r="D348" i="10"/>
  <c r="G348" i="10" s="1"/>
  <c r="I348" i="10" s="1"/>
  <c r="D347" i="10"/>
  <c r="G347" i="10" s="1"/>
  <c r="I347" i="10" s="1"/>
  <c r="D346" i="10"/>
  <c r="G346" i="10" s="1"/>
  <c r="I346" i="10" s="1"/>
  <c r="D345" i="10"/>
  <c r="G345" i="10" s="1"/>
  <c r="I345" i="10" s="1"/>
  <c r="D344" i="10"/>
  <c r="G344" i="10" s="1"/>
  <c r="I344" i="10" s="1"/>
  <c r="D343" i="10"/>
  <c r="G343" i="10" s="1"/>
  <c r="I343" i="10" s="1"/>
  <c r="D342" i="10"/>
  <c r="G342" i="10" s="1"/>
  <c r="I342" i="10" s="1"/>
  <c r="D341" i="10"/>
  <c r="G341" i="10" s="1"/>
  <c r="I341" i="10" s="1"/>
  <c r="D340" i="10"/>
  <c r="G340" i="10" s="1"/>
  <c r="I340" i="10" s="1"/>
  <c r="D339" i="10"/>
  <c r="G339" i="10" s="1"/>
  <c r="I339" i="10" s="1"/>
  <c r="D338" i="10"/>
  <c r="G338" i="10" s="1"/>
  <c r="I338" i="10" s="1"/>
  <c r="D337" i="10"/>
  <c r="G337" i="10" s="1"/>
  <c r="I337" i="10" s="1"/>
  <c r="D336" i="10"/>
  <c r="G336" i="10" s="1"/>
  <c r="I336" i="10" s="1"/>
  <c r="D335" i="10"/>
  <c r="G335" i="10" s="1"/>
  <c r="I335" i="10" s="1"/>
  <c r="D334" i="10"/>
  <c r="G334" i="10" s="1"/>
  <c r="I334" i="10" s="1"/>
  <c r="D333" i="10"/>
  <c r="G333" i="10" s="1"/>
  <c r="I333" i="10" s="1"/>
  <c r="D332" i="10"/>
  <c r="G332" i="10" s="1"/>
  <c r="I332" i="10" s="1"/>
  <c r="D331" i="10"/>
  <c r="G331" i="10" s="1"/>
  <c r="I331" i="10" s="1"/>
  <c r="D330" i="10"/>
  <c r="G330" i="10" s="1"/>
  <c r="I330" i="10" s="1"/>
  <c r="D329" i="10"/>
  <c r="G329" i="10" s="1"/>
  <c r="I329" i="10" s="1"/>
  <c r="D328" i="10"/>
  <c r="G328" i="10" s="1"/>
  <c r="I328" i="10" s="1"/>
  <c r="D327" i="10"/>
  <c r="G327" i="10" s="1"/>
  <c r="I327" i="10" s="1"/>
  <c r="D326" i="10"/>
  <c r="G326" i="10" s="1"/>
  <c r="I326" i="10" s="1"/>
  <c r="G325" i="10"/>
  <c r="I325" i="10" s="1"/>
  <c r="D325" i="10"/>
  <c r="D324" i="10"/>
  <c r="G324" i="10" s="1"/>
  <c r="I324" i="10" s="1"/>
  <c r="D323" i="10"/>
  <c r="G323" i="10" s="1"/>
  <c r="I323" i="10" s="1"/>
  <c r="D322" i="10"/>
  <c r="G322" i="10" s="1"/>
  <c r="I322" i="10" s="1"/>
  <c r="D321" i="10"/>
  <c r="G321" i="10" s="1"/>
  <c r="I321" i="10" s="1"/>
  <c r="D320" i="10"/>
  <c r="G320" i="10" s="1"/>
  <c r="I320" i="10" s="1"/>
  <c r="D319" i="10"/>
  <c r="G319" i="10" s="1"/>
  <c r="I319" i="10" s="1"/>
  <c r="D318" i="10"/>
  <c r="G318" i="10" s="1"/>
  <c r="I318" i="10" s="1"/>
  <c r="D317" i="10"/>
  <c r="G317" i="10" s="1"/>
  <c r="I317" i="10" s="1"/>
  <c r="D316" i="10"/>
  <c r="G316" i="10" s="1"/>
  <c r="I316" i="10" s="1"/>
  <c r="D315" i="10"/>
  <c r="G315" i="10" s="1"/>
  <c r="I315" i="10" s="1"/>
  <c r="D314" i="10"/>
  <c r="G314" i="10" s="1"/>
  <c r="I314" i="10" s="1"/>
  <c r="D313" i="10"/>
  <c r="G313" i="10" s="1"/>
  <c r="I313" i="10" s="1"/>
  <c r="D312" i="10"/>
  <c r="G312" i="10" s="1"/>
  <c r="I312" i="10" s="1"/>
  <c r="D311" i="10"/>
  <c r="G311" i="10" s="1"/>
  <c r="I311" i="10" s="1"/>
  <c r="D310" i="10"/>
  <c r="G310" i="10" s="1"/>
  <c r="I310" i="10" s="1"/>
  <c r="D309" i="10"/>
  <c r="G309" i="10" s="1"/>
  <c r="I309" i="10" s="1"/>
  <c r="D308" i="10"/>
  <c r="G308" i="10" s="1"/>
  <c r="I308" i="10" s="1"/>
  <c r="D307" i="10"/>
  <c r="G307" i="10" s="1"/>
  <c r="I307" i="10" s="1"/>
  <c r="D306" i="10"/>
  <c r="G306" i="10" s="1"/>
  <c r="I306" i="10" s="1"/>
  <c r="D305" i="10"/>
  <c r="G305" i="10" s="1"/>
  <c r="D304" i="10"/>
  <c r="G304" i="10" s="1"/>
  <c r="I304" i="10" s="1"/>
  <c r="D303" i="10"/>
  <c r="G303" i="10" s="1"/>
  <c r="I303" i="10" s="1"/>
  <c r="D302" i="10"/>
  <c r="G302" i="10" s="1"/>
  <c r="I302" i="10" s="1"/>
  <c r="D301" i="10"/>
  <c r="G301" i="10" s="1"/>
  <c r="I301" i="10" s="1"/>
  <c r="D300" i="10"/>
  <c r="G300" i="10" s="1"/>
  <c r="I300" i="10" s="1"/>
  <c r="D299" i="10"/>
  <c r="G299" i="10" s="1"/>
  <c r="I299" i="10" s="1"/>
  <c r="D298" i="10"/>
  <c r="G298" i="10" s="1"/>
  <c r="I298" i="10" s="1"/>
  <c r="D297" i="10"/>
  <c r="G297" i="10" s="1"/>
  <c r="I297" i="10" s="1"/>
  <c r="D296" i="10"/>
  <c r="G296" i="10" s="1"/>
  <c r="I296" i="10" s="1"/>
  <c r="D295" i="10"/>
  <c r="G295" i="10" s="1"/>
  <c r="I295" i="10" s="1"/>
  <c r="D294" i="10"/>
  <c r="G294" i="10" s="1"/>
  <c r="I294" i="10" s="1"/>
  <c r="D293" i="10"/>
  <c r="G293" i="10" s="1"/>
  <c r="I293" i="10" s="1"/>
  <c r="D292" i="10"/>
  <c r="G292" i="10" s="1"/>
  <c r="I292" i="10" s="1"/>
  <c r="D291" i="10"/>
  <c r="G291" i="10" s="1"/>
  <c r="I291" i="10" s="1"/>
  <c r="D290" i="10"/>
  <c r="G290" i="10" s="1"/>
  <c r="I290" i="10" s="1"/>
  <c r="D289" i="10"/>
  <c r="G289" i="10" s="1"/>
  <c r="I289" i="10" s="1"/>
  <c r="D288" i="10"/>
  <c r="G288" i="10" s="1"/>
  <c r="I288" i="10" s="1"/>
  <c r="D287" i="10"/>
  <c r="G287" i="10" s="1"/>
  <c r="I287" i="10" s="1"/>
  <c r="D286" i="10"/>
  <c r="G286" i="10" s="1"/>
  <c r="I286" i="10" s="1"/>
  <c r="D285" i="10"/>
  <c r="G285" i="10" s="1"/>
  <c r="I285" i="10" s="1"/>
  <c r="D284" i="10"/>
  <c r="G284" i="10" s="1"/>
  <c r="I284" i="10" s="1"/>
  <c r="D283" i="10"/>
  <c r="G283" i="10" s="1"/>
  <c r="I283" i="10" s="1"/>
  <c r="D282" i="10"/>
  <c r="G282" i="10" s="1"/>
  <c r="I282" i="10" s="1"/>
  <c r="D281" i="10"/>
  <c r="G281" i="10" s="1"/>
  <c r="I281" i="10" s="1"/>
  <c r="D280" i="10"/>
  <c r="G280" i="10" s="1"/>
  <c r="I280" i="10" s="1"/>
  <c r="G279" i="10"/>
  <c r="I279" i="10" s="1"/>
  <c r="D277" i="10"/>
  <c r="G277" i="10" s="1"/>
  <c r="I277" i="10" s="1"/>
  <c r="D276" i="10"/>
  <c r="G276" i="10" s="1"/>
  <c r="I276" i="10" s="1"/>
  <c r="D275" i="10"/>
  <c r="G275" i="10" s="1"/>
  <c r="I275" i="10" s="1"/>
  <c r="D274" i="10"/>
  <c r="G274" i="10" s="1"/>
  <c r="I274" i="10" s="1"/>
  <c r="D273" i="10"/>
  <c r="G273" i="10" s="1"/>
  <c r="I273" i="10" s="1"/>
  <c r="D272" i="10"/>
  <c r="G272" i="10" s="1"/>
  <c r="I272" i="10" s="1"/>
  <c r="D271" i="10"/>
  <c r="G271" i="10" s="1"/>
  <c r="I271" i="10" s="1"/>
  <c r="D270" i="10"/>
  <c r="G270" i="10" s="1"/>
  <c r="I270" i="10" s="1"/>
  <c r="D269" i="10"/>
  <c r="G269" i="10" s="1"/>
  <c r="I269" i="10" s="1"/>
  <c r="G268" i="10"/>
  <c r="I268" i="10" s="1"/>
  <c r="D268" i="10"/>
  <c r="D267" i="10"/>
  <c r="G267" i="10" s="1"/>
  <c r="I267" i="10" s="1"/>
  <c r="D266" i="10"/>
  <c r="G266" i="10" s="1"/>
  <c r="I266" i="10" s="1"/>
  <c r="D265" i="10"/>
  <c r="G265" i="10" s="1"/>
  <c r="I265" i="10" s="1"/>
  <c r="D264" i="10"/>
  <c r="G264" i="10" s="1"/>
  <c r="I264" i="10" s="1"/>
  <c r="D263" i="10"/>
  <c r="G263" i="10" s="1"/>
  <c r="I263" i="10" s="1"/>
  <c r="D262" i="10"/>
  <c r="G262" i="10" s="1"/>
  <c r="I262" i="10" s="1"/>
  <c r="D261" i="10"/>
  <c r="G261" i="10" s="1"/>
  <c r="I261" i="10" s="1"/>
  <c r="D260" i="10"/>
  <c r="G260" i="10" s="1"/>
  <c r="I260" i="10" s="1"/>
  <c r="D259" i="10"/>
  <c r="G259" i="10" s="1"/>
  <c r="I259" i="10" s="1"/>
  <c r="D258" i="10"/>
  <c r="G258" i="10" s="1"/>
  <c r="I258" i="10" s="1"/>
  <c r="D257" i="10"/>
  <c r="G257" i="10" s="1"/>
  <c r="I257" i="10" s="1"/>
  <c r="D256" i="10"/>
  <c r="G256" i="10" s="1"/>
  <c r="I256" i="10" s="1"/>
  <c r="D255" i="10"/>
  <c r="G255" i="10" s="1"/>
  <c r="I255" i="10" s="1"/>
  <c r="I254" i="10"/>
  <c r="D254" i="10"/>
  <c r="D253" i="10"/>
  <c r="G253" i="10" s="1"/>
  <c r="I253" i="10" s="1"/>
  <c r="D252" i="10"/>
  <c r="G252" i="10" s="1"/>
  <c r="I252" i="10" s="1"/>
  <c r="D251" i="10"/>
  <c r="G251" i="10" s="1"/>
  <c r="I251" i="10" s="1"/>
  <c r="D250" i="10"/>
  <c r="G250" i="10" s="1"/>
  <c r="I250" i="10" s="1"/>
  <c r="D249" i="10"/>
  <c r="G249" i="10" s="1"/>
  <c r="I249" i="10" s="1"/>
  <c r="D248" i="10"/>
  <c r="G248" i="10" s="1"/>
  <c r="I248" i="10" s="1"/>
  <c r="D247" i="10"/>
  <c r="G247" i="10" s="1"/>
  <c r="I247" i="10" s="1"/>
  <c r="D246" i="10"/>
  <c r="G246" i="10" s="1"/>
  <c r="I246" i="10" s="1"/>
  <c r="D245" i="10"/>
  <c r="G245" i="10" s="1"/>
  <c r="I245" i="10" s="1"/>
  <c r="D244" i="10"/>
  <c r="G244" i="10" s="1"/>
  <c r="I244" i="10" s="1"/>
  <c r="D243" i="10"/>
  <c r="G243" i="10" s="1"/>
  <c r="I243" i="10" s="1"/>
  <c r="D242" i="10"/>
  <c r="G242" i="10" s="1"/>
  <c r="D241" i="10"/>
  <c r="G241" i="10" s="1"/>
  <c r="I241" i="10" s="1"/>
  <c r="D240" i="10"/>
  <c r="G240" i="10" s="1"/>
  <c r="I240" i="10" s="1"/>
  <c r="D239" i="10"/>
  <c r="G239" i="10" s="1"/>
  <c r="I239" i="10" s="1"/>
  <c r="D238" i="10"/>
  <c r="G238" i="10" s="1"/>
  <c r="I238" i="10" s="1"/>
  <c r="D237" i="10"/>
  <c r="G237" i="10" s="1"/>
  <c r="I237" i="10" s="1"/>
  <c r="D236" i="10"/>
  <c r="G236" i="10" s="1"/>
  <c r="I236" i="10" s="1"/>
  <c r="D235" i="10"/>
  <c r="G235" i="10" s="1"/>
  <c r="I235" i="10" s="1"/>
  <c r="D234" i="10"/>
  <c r="G234" i="10" s="1"/>
  <c r="I234" i="10" s="1"/>
  <c r="D233" i="10"/>
  <c r="G233" i="10" s="1"/>
  <c r="I233" i="10" s="1"/>
  <c r="D232" i="10"/>
  <c r="G232" i="10" s="1"/>
  <c r="I232" i="10" s="1"/>
  <c r="D231" i="10"/>
  <c r="G231" i="10" s="1"/>
  <c r="I231" i="10" s="1"/>
  <c r="D230" i="10"/>
  <c r="G230" i="10" s="1"/>
  <c r="I230" i="10" s="1"/>
  <c r="D229" i="10"/>
  <c r="G229" i="10" s="1"/>
  <c r="I229" i="10" s="1"/>
  <c r="D228" i="10"/>
  <c r="G228" i="10" s="1"/>
  <c r="I228" i="10" s="1"/>
  <c r="D227" i="10"/>
  <c r="G227" i="10" s="1"/>
  <c r="I227" i="10" s="1"/>
  <c r="D226" i="10"/>
  <c r="G226" i="10" s="1"/>
  <c r="I226" i="10" s="1"/>
  <c r="D225" i="10"/>
  <c r="G225" i="10" s="1"/>
  <c r="I225" i="10" s="1"/>
  <c r="D224" i="10"/>
  <c r="G224" i="10" s="1"/>
  <c r="I224" i="10" s="1"/>
  <c r="D223" i="10"/>
  <c r="G223" i="10" s="1"/>
  <c r="I223" i="10" s="1"/>
  <c r="D222" i="10"/>
  <c r="G222" i="10" s="1"/>
  <c r="I222" i="10" s="1"/>
  <c r="D221" i="10"/>
  <c r="G221" i="10" s="1"/>
  <c r="I221" i="10" s="1"/>
  <c r="D220" i="10"/>
  <c r="G220" i="10" s="1"/>
  <c r="I220" i="10" s="1"/>
  <c r="D219" i="10"/>
  <c r="G219" i="10" s="1"/>
  <c r="I219" i="10" s="1"/>
  <c r="D218" i="10"/>
  <c r="G218" i="10" s="1"/>
  <c r="I218" i="10" s="1"/>
  <c r="D217" i="10"/>
  <c r="G217" i="10" s="1"/>
  <c r="I217" i="10" s="1"/>
  <c r="D216" i="10"/>
  <c r="G216" i="10" s="1"/>
  <c r="I216" i="10" s="1"/>
  <c r="D215" i="10"/>
  <c r="G215" i="10" s="1"/>
  <c r="I215" i="10" s="1"/>
  <c r="D214" i="10"/>
  <c r="G214" i="10" s="1"/>
  <c r="I214" i="10" s="1"/>
  <c r="D213" i="10"/>
  <c r="G213" i="10" s="1"/>
  <c r="I213" i="10" s="1"/>
  <c r="D212" i="10"/>
  <c r="G212" i="10" s="1"/>
  <c r="I212" i="10" s="1"/>
  <c r="D211" i="10"/>
  <c r="G211" i="10" s="1"/>
  <c r="I211" i="10" s="1"/>
  <c r="D209" i="10"/>
  <c r="G209" i="10" s="1"/>
  <c r="I209" i="10" s="1"/>
  <c r="D208" i="10"/>
  <c r="G208" i="10" s="1"/>
  <c r="I208" i="10" s="1"/>
  <c r="D207" i="10"/>
  <c r="G207" i="10" s="1"/>
  <c r="D206" i="10"/>
  <c r="G206" i="10" s="1"/>
  <c r="I206" i="10" s="1"/>
  <c r="D205" i="10"/>
  <c r="G205" i="10" s="1"/>
  <c r="I205" i="10" s="1"/>
  <c r="D204" i="10"/>
  <c r="G204" i="10" s="1"/>
  <c r="I204" i="10" s="1"/>
  <c r="D203" i="10"/>
  <c r="G203" i="10" s="1"/>
  <c r="D202" i="10"/>
  <c r="G202" i="10" s="1"/>
  <c r="I202" i="10" s="1"/>
  <c r="D201" i="10"/>
  <c r="G201" i="10" s="1"/>
  <c r="I201" i="10" s="1"/>
  <c r="D200" i="10"/>
  <c r="G200" i="10" s="1"/>
  <c r="I200" i="10" s="1"/>
  <c r="D199" i="10"/>
  <c r="G199" i="10" s="1"/>
  <c r="I199" i="10" s="1"/>
  <c r="D198" i="10"/>
  <c r="G198" i="10" s="1"/>
  <c r="I198" i="10" s="1"/>
  <c r="D197" i="10"/>
  <c r="G197" i="10" s="1"/>
  <c r="I197" i="10" s="1"/>
  <c r="D196" i="10"/>
  <c r="G196" i="10" s="1"/>
  <c r="I196" i="10" s="1"/>
  <c r="D195" i="10"/>
  <c r="G195" i="10" s="1"/>
  <c r="I195" i="10" s="1"/>
  <c r="N194" i="10"/>
  <c r="D194" i="10"/>
  <c r="G194" i="10" s="1"/>
  <c r="I194" i="10" s="1"/>
  <c r="G193" i="10"/>
  <c r="I193" i="10" s="1"/>
  <c r="D193" i="10"/>
  <c r="D192" i="10"/>
  <c r="G192" i="10" s="1"/>
  <c r="I192" i="10" s="1"/>
  <c r="D191" i="10"/>
  <c r="G191" i="10" s="1"/>
  <c r="I191" i="10" s="1"/>
  <c r="D190" i="10"/>
  <c r="G190" i="10" s="1"/>
  <c r="I190" i="10" s="1"/>
  <c r="D189" i="10"/>
  <c r="G189" i="10" s="1"/>
  <c r="I189" i="10" s="1"/>
  <c r="D188" i="10"/>
  <c r="G188" i="10" s="1"/>
  <c r="I188" i="10" s="1"/>
  <c r="D187" i="10"/>
  <c r="G187" i="10" s="1"/>
  <c r="I187" i="10" s="1"/>
  <c r="D186" i="10"/>
  <c r="G186" i="10" s="1"/>
  <c r="I186" i="10" s="1"/>
  <c r="D185" i="10"/>
  <c r="G185" i="10" s="1"/>
  <c r="I185" i="10" s="1"/>
  <c r="D184" i="10"/>
  <c r="G184" i="10" s="1"/>
  <c r="I184" i="10" s="1"/>
  <c r="D183" i="10"/>
  <c r="G183" i="10" s="1"/>
  <c r="I183" i="10" s="1"/>
  <c r="D182" i="10"/>
  <c r="G182" i="10" s="1"/>
  <c r="D181" i="10"/>
  <c r="G181" i="10" s="1"/>
  <c r="D180" i="10"/>
  <c r="G180" i="10" s="1"/>
  <c r="I180" i="10" s="1"/>
  <c r="D179" i="10"/>
  <c r="G179" i="10" s="1"/>
  <c r="I179" i="10" s="1"/>
  <c r="D178" i="10"/>
  <c r="G178" i="10" s="1"/>
  <c r="I178" i="10" s="1"/>
  <c r="D177" i="10"/>
  <c r="G177" i="10" s="1"/>
  <c r="I177" i="10" s="1"/>
  <c r="D176" i="10"/>
  <c r="G176" i="10" s="1"/>
  <c r="I176" i="10" s="1"/>
  <c r="D175" i="10"/>
  <c r="G175" i="10" s="1"/>
  <c r="I175" i="10" s="1"/>
  <c r="D174" i="10"/>
  <c r="G174" i="10" s="1"/>
  <c r="I174" i="10" s="1"/>
  <c r="D173" i="10"/>
  <c r="G173" i="10" s="1"/>
  <c r="I173" i="10" s="1"/>
  <c r="D172" i="10"/>
  <c r="G172" i="10" s="1"/>
  <c r="I172" i="10" s="1"/>
  <c r="D171" i="10"/>
  <c r="G171" i="10" s="1"/>
  <c r="I171" i="10" s="1"/>
  <c r="D170" i="10"/>
  <c r="G170" i="10" s="1"/>
  <c r="I170" i="10" s="1"/>
  <c r="D169" i="10"/>
  <c r="G169" i="10" s="1"/>
  <c r="I169" i="10" s="1"/>
  <c r="D168" i="10"/>
  <c r="G168" i="10" s="1"/>
  <c r="I168" i="10" s="1"/>
  <c r="D167" i="10"/>
  <c r="G167" i="10" s="1"/>
  <c r="I167" i="10" s="1"/>
  <c r="D166" i="10"/>
  <c r="G166" i="10" s="1"/>
  <c r="I166" i="10" s="1"/>
  <c r="D165" i="10"/>
  <c r="G165" i="10" s="1"/>
  <c r="I165" i="10" s="1"/>
  <c r="D164" i="10"/>
  <c r="G164" i="10" s="1"/>
  <c r="I164" i="10" s="1"/>
  <c r="D163" i="10"/>
  <c r="G163" i="10" s="1"/>
  <c r="I163" i="10" s="1"/>
  <c r="D162" i="10"/>
  <c r="G162" i="10" s="1"/>
  <c r="I162" i="10" s="1"/>
  <c r="I161" i="10"/>
  <c r="D160" i="10"/>
  <c r="G160" i="10" s="1"/>
  <c r="I160" i="10" s="1"/>
  <c r="D159" i="10"/>
  <c r="G159" i="10" s="1"/>
  <c r="I159" i="10" s="1"/>
  <c r="D158" i="10"/>
  <c r="G158" i="10" s="1"/>
  <c r="I158" i="10" s="1"/>
  <c r="D157" i="10"/>
  <c r="G157" i="10" s="1"/>
  <c r="I157" i="10" s="1"/>
  <c r="D156" i="10"/>
  <c r="G156" i="10" s="1"/>
  <c r="I156" i="10" s="1"/>
  <c r="D155" i="10"/>
  <c r="G155" i="10" s="1"/>
  <c r="I155" i="10" s="1"/>
  <c r="D154" i="10"/>
  <c r="G154" i="10" s="1"/>
  <c r="I154" i="10" s="1"/>
  <c r="D153" i="10"/>
  <c r="G153" i="10" s="1"/>
  <c r="I153" i="10" s="1"/>
  <c r="D152" i="10"/>
  <c r="G152" i="10" s="1"/>
  <c r="I152" i="10" s="1"/>
  <c r="D151" i="10"/>
  <c r="G151" i="10" s="1"/>
  <c r="I151" i="10" s="1"/>
  <c r="D150" i="10"/>
  <c r="G150" i="10" s="1"/>
  <c r="I150" i="10" s="1"/>
  <c r="D149" i="10"/>
  <c r="G149" i="10" s="1"/>
  <c r="I149" i="10" s="1"/>
  <c r="D148" i="10"/>
  <c r="G148" i="10" s="1"/>
  <c r="I148" i="10" s="1"/>
  <c r="D147" i="10"/>
  <c r="G147" i="10" s="1"/>
  <c r="I147" i="10" s="1"/>
  <c r="D146" i="10"/>
  <c r="G146" i="10" s="1"/>
  <c r="I146" i="10" s="1"/>
  <c r="D145" i="10"/>
  <c r="G145" i="10" s="1"/>
  <c r="I145" i="10" s="1"/>
  <c r="D144" i="10"/>
  <c r="G144" i="10" s="1"/>
  <c r="I144" i="10" s="1"/>
  <c r="D143" i="10"/>
  <c r="G143" i="10" s="1"/>
  <c r="I143" i="10" s="1"/>
  <c r="D142" i="10"/>
  <c r="G142" i="10" s="1"/>
  <c r="I142" i="10" s="1"/>
  <c r="D141" i="10"/>
  <c r="G141" i="10" s="1"/>
  <c r="I141" i="10" s="1"/>
  <c r="D140" i="10"/>
  <c r="G140" i="10" s="1"/>
  <c r="I140" i="10" s="1"/>
  <c r="D139" i="10"/>
  <c r="G139" i="10" s="1"/>
  <c r="I139" i="10" s="1"/>
  <c r="D138" i="10"/>
  <c r="G138" i="10" s="1"/>
  <c r="I138" i="10" s="1"/>
  <c r="D137" i="10"/>
  <c r="G137" i="10" s="1"/>
  <c r="I137" i="10" s="1"/>
  <c r="D136" i="10"/>
  <c r="G136" i="10" s="1"/>
  <c r="I136" i="10" s="1"/>
  <c r="D135" i="10"/>
  <c r="G135" i="10" s="1"/>
  <c r="I135" i="10" s="1"/>
  <c r="D134" i="10"/>
  <c r="G134" i="10" s="1"/>
  <c r="I134" i="10" s="1"/>
  <c r="D133" i="10"/>
  <c r="G133" i="10" s="1"/>
  <c r="I133" i="10" s="1"/>
  <c r="D132" i="10"/>
  <c r="G132" i="10" s="1"/>
  <c r="I132" i="10" s="1"/>
  <c r="D131" i="10"/>
  <c r="G131" i="10" s="1"/>
  <c r="I131" i="10" s="1"/>
  <c r="D130" i="10"/>
  <c r="G130" i="10" s="1"/>
  <c r="I130" i="10" s="1"/>
  <c r="D129" i="10"/>
  <c r="G129" i="10" s="1"/>
  <c r="I129" i="10" s="1"/>
  <c r="D128" i="10"/>
  <c r="G128" i="10" s="1"/>
  <c r="I128" i="10" s="1"/>
  <c r="D127" i="10"/>
  <c r="G127" i="10" s="1"/>
  <c r="I127" i="10" s="1"/>
  <c r="D126" i="10"/>
  <c r="G126" i="10" s="1"/>
  <c r="I126" i="10" s="1"/>
  <c r="D125" i="10"/>
  <c r="G125" i="10" s="1"/>
  <c r="I125" i="10" s="1"/>
  <c r="D124" i="10"/>
  <c r="G124" i="10" s="1"/>
  <c r="I124" i="10" s="1"/>
  <c r="D123" i="10"/>
  <c r="G123" i="10" s="1"/>
  <c r="I123" i="10" s="1"/>
  <c r="D122" i="10"/>
  <c r="G122" i="10" s="1"/>
  <c r="I122" i="10" s="1"/>
  <c r="D121" i="10"/>
  <c r="G121" i="10" s="1"/>
  <c r="I121" i="10" s="1"/>
  <c r="D120" i="10"/>
  <c r="G120" i="10" s="1"/>
  <c r="I120" i="10" s="1"/>
  <c r="D119" i="10"/>
  <c r="G119" i="10" s="1"/>
  <c r="I119" i="10" s="1"/>
  <c r="D118" i="10"/>
  <c r="G118" i="10" s="1"/>
  <c r="I118" i="10" s="1"/>
  <c r="D117" i="10"/>
  <c r="G117" i="10" s="1"/>
  <c r="I117" i="10" s="1"/>
  <c r="D116" i="10"/>
  <c r="G116" i="10" s="1"/>
  <c r="I116" i="10" s="1"/>
  <c r="D115" i="10"/>
  <c r="G115" i="10" s="1"/>
  <c r="I115" i="10" s="1"/>
  <c r="D114" i="10"/>
  <c r="G114" i="10" s="1"/>
  <c r="I114" i="10" s="1"/>
  <c r="D113" i="10"/>
  <c r="G113" i="10" s="1"/>
  <c r="I113" i="10" s="1"/>
  <c r="D112" i="10"/>
  <c r="G112" i="10" s="1"/>
  <c r="I112" i="10" s="1"/>
  <c r="D110" i="10"/>
  <c r="G110" i="10" s="1"/>
  <c r="I110" i="10" s="1"/>
  <c r="D109" i="10"/>
  <c r="G109" i="10" s="1"/>
  <c r="I109" i="10" s="1"/>
  <c r="D108" i="10"/>
  <c r="G108" i="10" s="1"/>
  <c r="I108" i="10" s="1"/>
  <c r="D107" i="10"/>
  <c r="G107" i="10" s="1"/>
  <c r="I107" i="10" s="1"/>
  <c r="G106" i="10"/>
  <c r="I106" i="10" s="1"/>
  <c r="D106" i="10"/>
  <c r="D105" i="10"/>
  <c r="G105" i="10" s="1"/>
  <c r="I105" i="10" s="1"/>
  <c r="D104" i="10"/>
  <c r="G104" i="10" s="1"/>
  <c r="I104" i="10" s="1"/>
  <c r="D103" i="10"/>
  <c r="G103" i="10" s="1"/>
  <c r="I103" i="10" s="1"/>
  <c r="D102" i="10"/>
  <c r="G102" i="10" s="1"/>
  <c r="I102" i="10" s="1"/>
  <c r="D101" i="10"/>
  <c r="G101" i="10" s="1"/>
  <c r="I101" i="10" s="1"/>
  <c r="D100" i="10"/>
  <c r="G100" i="10" s="1"/>
  <c r="I100" i="10" s="1"/>
  <c r="D99" i="10"/>
  <c r="G99" i="10" s="1"/>
  <c r="I99" i="10" s="1"/>
  <c r="D98" i="10"/>
  <c r="G98" i="10" s="1"/>
  <c r="I98" i="10" s="1"/>
  <c r="D97" i="10"/>
  <c r="G97" i="10" s="1"/>
  <c r="I97" i="10" s="1"/>
  <c r="D96" i="10"/>
  <c r="G96" i="10" s="1"/>
  <c r="I96" i="10" s="1"/>
  <c r="D95" i="10"/>
  <c r="G95" i="10" s="1"/>
  <c r="I95" i="10" s="1"/>
  <c r="D94" i="10"/>
  <c r="G94" i="10" s="1"/>
  <c r="I94" i="10" s="1"/>
  <c r="D93" i="10"/>
  <c r="G93" i="10" s="1"/>
  <c r="I93" i="10" s="1"/>
  <c r="D92" i="10"/>
  <c r="G92" i="10" s="1"/>
  <c r="I92" i="10" s="1"/>
  <c r="D91" i="10"/>
  <c r="G91" i="10" s="1"/>
  <c r="I91" i="10" s="1"/>
  <c r="D90" i="10"/>
  <c r="G90" i="10" s="1"/>
  <c r="I90" i="10" s="1"/>
  <c r="D89" i="10"/>
  <c r="G89" i="10" s="1"/>
  <c r="I89" i="10" s="1"/>
  <c r="D88" i="10"/>
  <c r="G88" i="10" s="1"/>
  <c r="I88" i="10" s="1"/>
  <c r="D87" i="10"/>
  <c r="G87" i="10" s="1"/>
  <c r="I87" i="10" s="1"/>
  <c r="D86" i="10"/>
  <c r="G86" i="10" s="1"/>
  <c r="I86" i="10" s="1"/>
  <c r="D85" i="10"/>
  <c r="G85" i="10" s="1"/>
  <c r="I85" i="10" s="1"/>
  <c r="D84" i="10"/>
  <c r="G84" i="10" s="1"/>
  <c r="I84" i="10" s="1"/>
  <c r="D83" i="10"/>
  <c r="G83" i="10" s="1"/>
  <c r="I83" i="10" s="1"/>
  <c r="D82" i="10"/>
  <c r="G82" i="10" s="1"/>
  <c r="I82" i="10" s="1"/>
  <c r="D80" i="10"/>
  <c r="G80" i="10" s="1"/>
  <c r="I80" i="10" s="1"/>
  <c r="D79" i="10"/>
  <c r="G79" i="10" s="1"/>
  <c r="I79" i="10" s="1"/>
  <c r="D78" i="10"/>
  <c r="G78" i="10" s="1"/>
  <c r="I78" i="10" s="1"/>
  <c r="D77" i="10"/>
  <c r="G77" i="10" s="1"/>
  <c r="I77" i="10" s="1"/>
  <c r="D76" i="10"/>
  <c r="G76" i="10" s="1"/>
  <c r="I76" i="10" s="1"/>
  <c r="D75" i="10"/>
  <c r="G75" i="10" s="1"/>
  <c r="I75" i="10" s="1"/>
  <c r="D74" i="10"/>
  <c r="G74" i="10" s="1"/>
  <c r="I74" i="10" s="1"/>
  <c r="D73" i="10"/>
  <c r="G73" i="10" s="1"/>
  <c r="I73" i="10" s="1"/>
  <c r="D72" i="10"/>
  <c r="G72" i="10" s="1"/>
  <c r="I72" i="10" s="1"/>
  <c r="D71" i="10"/>
  <c r="G71" i="10" s="1"/>
  <c r="I71" i="10" s="1"/>
  <c r="D70" i="10"/>
  <c r="G70" i="10" s="1"/>
  <c r="I70" i="10" s="1"/>
  <c r="D69" i="10"/>
  <c r="G69" i="10" s="1"/>
  <c r="I69" i="10" s="1"/>
  <c r="D68" i="10"/>
  <c r="G68" i="10" s="1"/>
  <c r="I68" i="10" s="1"/>
  <c r="D67" i="10"/>
  <c r="G67" i="10" s="1"/>
  <c r="I67" i="10" s="1"/>
  <c r="D66" i="10"/>
  <c r="G66" i="10" s="1"/>
  <c r="I66" i="10" s="1"/>
  <c r="D65" i="10"/>
  <c r="G65" i="10" s="1"/>
  <c r="I65" i="10" s="1"/>
  <c r="D64" i="10"/>
  <c r="G64" i="10" s="1"/>
  <c r="I64" i="10" s="1"/>
  <c r="D63" i="10"/>
  <c r="G63" i="10" s="1"/>
  <c r="I63" i="10" s="1"/>
  <c r="D62" i="10"/>
  <c r="G62" i="10" s="1"/>
  <c r="I62" i="10" s="1"/>
  <c r="D61" i="10"/>
  <c r="G61" i="10" s="1"/>
  <c r="I61" i="10" s="1"/>
  <c r="D60" i="10"/>
  <c r="G60" i="10" s="1"/>
  <c r="I60" i="10" s="1"/>
  <c r="D59" i="10"/>
  <c r="G59" i="10" s="1"/>
  <c r="I59" i="10" s="1"/>
  <c r="D58" i="10"/>
  <c r="G58" i="10" s="1"/>
  <c r="I58" i="10" s="1"/>
  <c r="D57" i="10"/>
  <c r="G57" i="10" s="1"/>
  <c r="I57" i="10" s="1"/>
  <c r="D56" i="10"/>
  <c r="G56" i="10" s="1"/>
  <c r="I56" i="10" s="1"/>
  <c r="D55" i="10"/>
  <c r="G55" i="10" s="1"/>
  <c r="I55" i="10" s="1"/>
  <c r="D54" i="10"/>
  <c r="G54" i="10" s="1"/>
  <c r="I54" i="10" s="1"/>
  <c r="D53" i="10"/>
  <c r="G53" i="10" s="1"/>
  <c r="I53" i="10" s="1"/>
  <c r="D52" i="10"/>
  <c r="G52" i="10" s="1"/>
  <c r="I52" i="10" s="1"/>
  <c r="D51" i="10"/>
  <c r="G51" i="10" s="1"/>
  <c r="I51" i="10" s="1"/>
  <c r="D50" i="10"/>
  <c r="G50" i="10" s="1"/>
  <c r="I50" i="10" s="1"/>
  <c r="D49" i="10"/>
  <c r="G49" i="10" s="1"/>
  <c r="I49" i="10" s="1"/>
  <c r="D48" i="10"/>
  <c r="G48" i="10" s="1"/>
  <c r="I48" i="10" s="1"/>
  <c r="D47" i="10"/>
  <c r="G47" i="10" s="1"/>
  <c r="I47" i="10" s="1"/>
  <c r="D46" i="10"/>
  <c r="G46" i="10" s="1"/>
  <c r="I46" i="10" s="1"/>
  <c r="D45" i="10"/>
  <c r="G45" i="10" s="1"/>
  <c r="I45" i="10" s="1"/>
  <c r="D44" i="10"/>
  <c r="G44" i="10" s="1"/>
  <c r="I44" i="10" s="1"/>
  <c r="D43" i="10"/>
  <c r="G43" i="10" s="1"/>
  <c r="I43" i="10" s="1"/>
  <c r="D42" i="10"/>
  <c r="G42" i="10" s="1"/>
  <c r="I42" i="10" s="1"/>
  <c r="G41" i="10"/>
  <c r="I41" i="10" s="1"/>
  <c r="D41" i="10"/>
  <c r="D40" i="10"/>
  <c r="G40" i="10" s="1"/>
  <c r="I40" i="10" s="1"/>
  <c r="D39" i="10"/>
  <c r="G39" i="10" s="1"/>
  <c r="I39" i="10" s="1"/>
  <c r="D38" i="10"/>
  <c r="G38" i="10" s="1"/>
  <c r="I38" i="10" s="1"/>
  <c r="D37" i="10"/>
  <c r="G37" i="10" s="1"/>
  <c r="I37" i="10" s="1"/>
  <c r="D36" i="10"/>
  <c r="G36" i="10" s="1"/>
  <c r="I36" i="10" s="1"/>
  <c r="D35" i="10"/>
  <c r="G35" i="10" s="1"/>
  <c r="I35" i="10" s="1"/>
  <c r="D34" i="10"/>
  <c r="G34" i="10" s="1"/>
  <c r="I34" i="10" s="1"/>
  <c r="D33" i="10"/>
  <c r="G33" i="10" s="1"/>
  <c r="I33" i="10" s="1"/>
  <c r="D32" i="10"/>
  <c r="G32" i="10" s="1"/>
  <c r="I32" i="10" s="1"/>
  <c r="D31" i="10"/>
  <c r="G31" i="10" s="1"/>
  <c r="I31" i="10" s="1"/>
  <c r="D30" i="10"/>
  <c r="G30" i="10" s="1"/>
  <c r="I30" i="10" s="1"/>
  <c r="D29" i="10"/>
  <c r="G29" i="10" s="1"/>
  <c r="I29" i="10" s="1"/>
  <c r="D28" i="10"/>
  <c r="G28" i="10" s="1"/>
  <c r="I28" i="10" s="1"/>
  <c r="D27" i="10"/>
  <c r="G27" i="10" s="1"/>
  <c r="I27" i="10" s="1"/>
  <c r="D26" i="10"/>
  <c r="G26" i="10" s="1"/>
  <c r="I26" i="10" s="1"/>
  <c r="D25" i="10"/>
  <c r="G25" i="10" s="1"/>
  <c r="I25" i="10" s="1"/>
  <c r="D24" i="10"/>
  <c r="G24" i="10" s="1"/>
  <c r="I24" i="10" s="1"/>
  <c r="D23" i="10"/>
  <c r="G23" i="10" s="1"/>
  <c r="I23" i="10" s="1"/>
  <c r="D22" i="10"/>
  <c r="G22" i="10" s="1"/>
  <c r="I22" i="10" s="1"/>
  <c r="D21" i="10"/>
  <c r="G21" i="10" s="1"/>
  <c r="I21" i="10" s="1"/>
  <c r="D20" i="10"/>
  <c r="G20" i="10" s="1"/>
  <c r="I20" i="10" s="1"/>
  <c r="D19" i="10"/>
  <c r="G19" i="10" s="1"/>
  <c r="I19" i="10" s="1"/>
  <c r="D18" i="10"/>
  <c r="G18" i="10" s="1"/>
  <c r="I18" i="10" s="1"/>
  <c r="D17" i="10"/>
  <c r="G17" i="10" s="1"/>
  <c r="I17" i="10" s="1"/>
  <c r="D16" i="10"/>
  <c r="G16" i="10" s="1"/>
  <c r="I16" i="10" s="1"/>
  <c r="D15" i="10"/>
  <c r="G15" i="10" s="1"/>
  <c r="I15" i="10" s="1"/>
  <c r="D14" i="10"/>
  <c r="G14" i="10" s="1"/>
  <c r="I14" i="10" s="1"/>
  <c r="D13" i="10"/>
  <c r="G13" i="10" s="1"/>
  <c r="I13" i="10" s="1"/>
  <c r="D12" i="10"/>
  <c r="G12" i="10" s="1"/>
  <c r="I12" i="10" s="1"/>
  <c r="D11" i="10"/>
  <c r="G11" i="10" s="1"/>
  <c r="I11" i="10" s="1"/>
  <c r="D10" i="10"/>
  <c r="G10" i="10" s="1"/>
  <c r="I10" i="10" s="1"/>
  <c r="D9" i="10"/>
  <c r="G9" i="10" s="1"/>
  <c r="I9" i="10" s="1"/>
  <c r="D8" i="10"/>
  <c r="G8" i="10" s="1"/>
  <c r="I8" i="10" s="1"/>
  <c r="D7" i="10"/>
  <c r="G7" i="10" s="1"/>
  <c r="I7" i="10" s="1"/>
  <c r="D6" i="10"/>
  <c r="G6" i="10" s="1"/>
  <c r="I6" i="10" s="1"/>
  <c r="D5" i="10"/>
  <c r="G5" i="10" s="1"/>
  <c r="I5" i="10" s="1"/>
  <c r="D49" i="2" l="1"/>
  <c r="I376" i="10"/>
  <c r="D375" i="11" l="1"/>
  <c r="G375" i="11" s="1"/>
  <c r="I375" i="11" s="1"/>
  <c r="D374" i="11"/>
  <c r="G374" i="11" s="1"/>
  <c r="I374" i="11" s="1"/>
  <c r="D373" i="11"/>
  <c r="G373" i="11" s="1"/>
  <c r="I373" i="11" s="1"/>
  <c r="D372" i="11"/>
  <c r="G372" i="11" s="1"/>
  <c r="I372" i="11" s="1"/>
  <c r="D371" i="11"/>
  <c r="G371" i="11" s="1"/>
  <c r="I371" i="11" s="1"/>
  <c r="D370" i="11"/>
  <c r="G370" i="11" s="1"/>
  <c r="I370" i="11" s="1"/>
  <c r="D369" i="11"/>
  <c r="G369" i="11" s="1"/>
  <c r="I369" i="11" s="1"/>
  <c r="D368" i="11"/>
  <c r="G368" i="11" s="1"/>
  <c r="I368" i="11" s="1"/>
  <c r="D367" i="11"/>
  <c r="G367" i="11" s="1"/>
  <c r="I367" i="11" s="1"/>
  <c r="D366" i="11"/>
  <c r="G366" i="11" s="1"/>
  <c r="I366" i="11" s="1"/>
  <c r="D365" i="11"/>
  <c r="G365" i="11" s="1"/>
  <c r="I365" i="11" s="1"/>
  <c r="D364" i="11"/>
  <c r="G364" i="11" s="1"/>
  <c r="I364" i="11" s="1"/>
  <c r="D363" i="11"/>
  <c r="G363" i="11" s="1"/>
  <c r="I363" i="11" s="1"/>
  <c r="D362" i="11"/>
  <c r="G362" i="11" s="1"/>
  <c r="I362" i="11" s="1"/>
  <c r="D361" i="11"/>
  <c r="G361" i="11" s="1"/>
  <c r="I361" i="11" s="1"/>
  <c r="D360" i="11"/>
  <c r="G360" i="11" s="1"/>
  <c r="I360" i="11" s="1"/>
  <c r="D359" i="11"/>
  <c r="G359" i="11" s="1"/>
  <c r="I359" i="11" s="1"/>
  <c r="D358" i="11"/>
  <c r="G358" i="11" s="1"/>
  <c r="I358" i="11" s="1"/>
  <c r="D357" i="11"/>
  <c r="G357" i="11" s="1"/>
  <c r="I357" i="11" s="1"/>
  <c r="D356" i="11"/>
  <c r="G356" i="11" s="1"/>
  <c r="I356" i="11" s="1"/>
  <c r="D355" i="11"/>
  <c r="G355" i="11" s="1"/>
  <c r="I355" i="11" s="1"/>
  <c r="I354" i="11"/>
  <c r="D354" i="11"/>
  <c r="G354" i="11" s="1"/>
  <c r="G353" i="11"/>
  <c r="I353" i="11" s="1"/>
  <c r="D353" i="11"/>
  <c r="D352" i="11"/>
  <c r="G352" i="11" s="1"/>
  <c r="I352" i="11" s="1"/>
  <c r="G351" i="11"/>
  <c r="I351" i="11" s="1"/>
  <c r="D351" i="11"/>
  <c r="D350" i="11"/>
  <c r="G350" i="11" s="1"/>
  <c r="I350" i="11" s="1"/>
  <c r="D349" i="11"/>
  <c r="G349" i="11" s="1"/>
  <c r="I349" i="11" s="1"/>
  <c r="I348" i="11"/>
  <c r="D348" i="11"/>
  <c r="G348" i="11" s="1"/>
  <c r="D347" i="11"/>
  <c r="G347" i="11" s="1"/>
  <c r="I347" i="11" s="1"/>
  <c r="I346" i="11"/>
  <c r="D346" i="11"/>
  <c r="G346" i="11" s="1"/>
  <c r="G345" i="11"/>
  <c r="I345" i="11" s="1"/>
  <c r="D345" i="11"/>
  <c r="D344" i="11"/>
  <c r="G344" i="11" s="1"/>
  <c r="I344" i="11" s="1"/>
  <c r="D343" i="11"/>
  <c r="G343" i="11" s="1"/>
  <c r="I343" i="11" s="1"/>
  <c r="D342" i="11"/>
  <c r="G342" i="11" s="1"/>
  <c r="I342" i="11" s="1"/>
  <c r="D341" i="11"/>
  <c r="G341" i="11" s="1"/>
  <c r="I341" i="11" s="1"/>
  <c r="D340" i="11"/>
  <c r="G340" i="11" s="1"/>
  <c r="I340" i="11" s="1"/>
  <c r="D339" i="11"/>
  <c r="G339" i="11" s="1"/>
  <c r="I339" i="11" s="1"/>
  <c r="D338" i="11"/>
  <c r="G338" i="11" s="1"/>
  <c r="I338" i="11" s="1"/>
  <c r="D337" i="11"/>
  <c r="G337" i="11" s="1"/>
  <c r="I337" i="11" s="1"/>
  <c r="D336" i="11"/>
  <c r="G336" i="11" s="1"/>
  <c r="I336" i="11" s="1"/>
  <c r="D335" i="11"/>
  <c r="G335" i="11" s="1"/>
  <c r="I335" i="11" s="1"/>
  <c r="D334" i="11"/>
  <c r="G334" i="11" s="1"/>
  <c r="I334" i="11" s="1"/>
  <c r="D333" i="11"/>
  <c r="G333" i="11" s="1"/>
  <c r="I333" i="11" s="1"/>
  <c r="I332" i="11"/>
  <c r="D332" i="11"/>
  <c r="G332" i="11" s="1"/>
  <c r="D331" i="11"/>
  <c r="G331" i="11" s="1"/>
  <c r="I331" i="11" s="1"/>
  <c r="D330" i="11"/>
  <c r="G330" i="11" s="1"/>
  <c r="I330" i="11" s="1"/>
  <c r="D329" i="11"/>
  <c r="G329" i="11" s="1"/>
  <c r="I329" i="11" s="1"/>
  <c r="D328" i="11"/>
  <c r="G328" i="11" s="1"/>
  <c r="I328" i="11" s="1"/>
  <c r="D327" i="11"/>
  <c r="G327" i="11" s="1"/>
  <c r="I327" i="11" s="1"/>
  <c r="D326" i="11"/>
  <c r="G326" i="11" s="1"/>
  <c r="I326" i="11" s="1"/>
  <c r="D325" i="11"/>
  <c r="G325" i="11" s="1"/>
  <c r="I325" i="11" s="1"/>
  <c r="D324" i="11"/>
  <c r="G324" i="11" s="1"/>
  <c r="I324" i="11" s="1"/>
  <c r="D323" i="11"/>
  <c r="G323" i="11" s="1"/>
  <c r="I323" i="11" s="1"/>
  <c r="D322" i="11"/>
  <c r="G322" i="11" s="1"/>
  <c r="I322" i="11" s="1"/>
  <c r="D321" i="11"/>
  <c r="G321" i="11" s="1"/>
  <c r="I321" i="11" s="1"/>
  <c r="D320" i="11"/>
  <c r="G320" i="11" s="1"/>
  <c r="I320" i="11" s="1"/>
  <c r="D319" i="11"/>
  <c r="G319" i="11" s="1"/>
  <c r="I319" i="11" s="1"/>
  <c r="D318" i="11"/>
  <c r="G318" i="11" s="1"/>
  <c r="I318" i="11" s="1"/>
  <c r="D317" i="11"/>
  <c r="G317" i="11" s="1"/>
  <c r="I317" i="11" s="1"/>
  <c r="D316" i="11"/>
  <c r="G316" i="11" s="1"/>
  <c r="I316" i="11" s="1"/>
  <c r="D315" i="11"/>
  <c r="G315" i="11" s="1"/>
  <c r="I315" i="11" s="1"/>
  <c r="D314" i="11"/>
  <c r="G314" i="11" s="1"/>
  <c r="I314" i="11" s="1"/>
  <c r="D313" i="11"/>
  <c r="G313" i="11" s="1"/>
  <c r="I313" i="11" s="1"/>
  <c r="D312" i="11"/>
  <c r="G312" i="11" s="1"/>
  <c r="I312" i="11" s="1"/>
  <c r="D311" i="11"/>
  <c r="G311" i="11" s="1"/>
  <c r="I311" i="11" s="1"/>
  <c r="D310" i="11"/>
  <c r="G310" i="11" s="1"/>
  <c r="I310" i="11" s="1"/>
  <c r="D309" i="11"/>
  <c r="G309" i="11" s="1"/>
  <c r="I309" i="11" s="1"/>
  <c r="D308" i="11"/>
  <c r="G308" i="11" s="1"/>
  <c r="I308" i="11" s="1"/>
  <c r="D307" i="11"/>
  <c r="G307" i="11" s="1"/>
  <c r="I307" i="11" s="1"/>
  <c r="D306" i="11"/>
  <c r="G306" i="11" s="1"/>
  <c r="I306" i="11" s="1"/>
  <c r="D305" i="11"/>
  <c r="G305" i="11" s="1"/>
  <c r="G304" i="11"/>
  <c r="I304" i="11" s="1"/>
  <c r="D304" i="11"/>
  <c r="D303" i="11"/>
  <c r="G303" i="11" s="1"/>
  <c r="I303" i="11" s="1"/>
  <c r="D302" i="11"/>
  <c r="G302" i="11" s="1"/>
  <c r="I302" i="11" s="1"/>
  <c r="D301" i="11"/>
  <c r="G301" i="11" s="1"/>
  <c r="I301" i="11" s="1"/>
  <c r="D300" i="11"/>
  <c r="G300" i="11" s="1"/>
  <c r="I300" i="11" s="1"/>
  <c r="D299" i="11"/>
  <c r="G299" i="11" s="1"/>
  <c r="I299" i="11" s="1"/>
  <c r="D298" i="11"/>
  <c r="G298" i="11" s="1"/>
  <c r="I298" i="11" s="1"/>
  <c r="D297" i="11"/>
  <c r="G297" i="11" s="1"/>
  <c r="I297" i="11" s="1"/>
  <c r="D296" i="11"/>
  <c r="G296" i="11" s="1"/>
  <c r="I296" i="11" s="1"/>
  <c r="D295" i="11"/>
  <c r="G295" i="11" s="1"/>
  <c r="I295" i="11" s="1"/>
  <c r="D294" i="11"/>
  <c r="G294" i="11" s="1"/>
  <c r="I294" i="11" s="1"/>
  <c r="D293" i="11"/>
  <c r="G293" i="11" s="1"/>
  <c r="I293" i="11" s="1"/>
  <c r="D292" i="11"/>
  <c r="G292" i="11" s="1"/>
  <c r="I292" i="11" s="1"/>
  <c r="D291" i="11"/>
  <c r="G291" i="11" s="1"/>
  <c r="I291" i="11" s="1"/>
  <c r="D290" i="11"/>
  <c r="G290" i="11" s="1"/>
  <c r="I290" i="11" s="1"/>
  <c r="D289" i="11"/>
  <c r="G289" i="11" s="1"/>
  <c r="I289" i="11" s="1"/>
  <c r="D288" i="11"/>
  <c r="G288" i="11" s="1"/>
  <c r="I288" i="11" s="1"/>
  <c r="D287" i="11"/>
  <c r="G287" i="11" s="1"/>
  <c r="I287" i="11" s="1"/>
  <c r="D286" i="11"/>
  <c r="G286" i="11" s="1"/>
  <c r="I286" i="11" s="1"/>
  <c r="D285" i="11"/>
  <c r="G285" i="11" s="1"/>
  <c r="I285" i="11" s="1"/>
  <c r="D284" i="11"/>
  <c r="G284" i="11" s="1"/>
  <c r="I284" i="11" s="1"/>
  <c r="D283" i="11"/>
  <c r="G283" i="11" s="1"/>
  <c r="I283" i="11" s="1"/>
  <c r="D282" i="11"/>
  <c r="G282" i="11" s="1"/>
  <c r="I282" i="11" s="1"/>
  <c r="D281" i="11"/>
  <c r="G281" i="11" s="1"/>
  <c r="I281" i="11" s="1"/>
  <c r="D280" i="11"/>
  <c r="G280" i="11" s="1"/>
  <c r="I280" i="11" s="1"/>
  <c r="G279" i="11"/>
  <c r="I279" i="11" s="1"/>
  <c r="D277" i="11"/>
  <c r="G277" i="11" s="1"/>
  <c r="I277" i="11" s="1"/>
  <c r="D276" i="11"/>
  <c r="G276" i="11" s="1"/>
  <c r="I276" i="11" s="1"/>
  <c r="D275" i="11"/>
  <c r="G275" i="11" s="1"/>
  <c r="I275" i="11" s="1"/>
  <c r="D274" i="11"/>
  <c r="G274" i="11" s="1"/>
  <c r="I274" i="11" s="1"/>
  <c r="D273" i="11"/>
  <c r="G273" i="11" s="1"/>
  <c r="I273" i="11" s="1"/>
  <c r="D272" i="11"/>
  <c r="G272" i="11" s="1"/>
  <c r="I272" i="11" s="1"/>
  <c r="D271" i="11"/>
  <c r="G271" i="11" s="1"/>
  <c r="I271" i="11" s="1"/>
  <c r="D270" i="11"/>
  <c r="G270" i="11" s="1"/>
  <c r="I270" i="11" s="1"/>
  <c r="D269" i="11"/>
  <c r="G269" i="11" s="1"/>
  <c r="I269" i="11" s="1"/>
  <c r="D268" i="11"/>
  <c r="G268" i="11" s="1"/>
  <c r="I268" i="11" s="1"/>
  <c r="D267" i="11"/>
  <c r="G267" i="11" s="1"/>
  <c r="I267" i="11" s="1"/>
  <c r="G266" i="11"/>
  <c r="I266" i="11" s="1"/>
  <c r="D266" i="11"/>
  <c r="D265" i="11"/>
  <c r="G265" i="11" s="1"/>
  <c r="I265" i="11" s="1"/>
  <c r="D264" i="11"/>
  <c r="G264" i="11" s="1"/>
  <c r="I264" i="11" s="1"/>
  <c r="D263" i="11"/>
  <c r="G263" i="11" s="1"/>
  <c r="I263" i="11" s="1"/>
  <c r="G262" i="11"/>
  <c r="I262" i="11" s="1"/>
  <c r="D262" i="11"/>
  <c r="I261" i="11"/>
  <c r="D261" i="11"/>
  <c r="G261" i="11" s="1"/>
  <c r="D260" i="11"/>
  <c r="G260" i="11" s="1"/>
  <c r="I260" i="11" s="1"/>
  <c r="D259" i="11"/>
  <c r="G259" i="11" s="1"/>
  <c r="I259" i="11" s="1"/>
  <c r="D258" i="11"/>
  <c r="G258" i="11" s="1"/>
  <c r="I258" i="11" s="1"/>
  <c r="D257" i="11"/>
  <c r="G257" i="11" s="1"/>
  <c r="I257" i="11" s="1"/>
  <c r="D256" i="11"/>
  <c r="G256" i="11" s="1"/>
  <c r="I256" i="11" s="1"/>
  <c r="D255" i="11"/>
  <c r="G255" i="11" s="1"/>
  <c r="I255" i="11" s="1"/>
  <c r="I254" i="11"/>
  <c r="D254" i="11"/>
  <c r="D253" i="11"/>
  <c r="G253" i="11" s="1"/>
  <c r="I253" i="11" s="1"/>
  <c r="D252" i="11"/>
  <c r="G252" i="11" s="1"/>
  <c r="I252" i="11" s="1"/>
  <c r="D251" i="11"/>
  <c r="G251" i="11" s="1"/>
  <c r="I251" i="11" s="1"/>
  <c r="I250" i="11"/>
  <c r="D250" i="11"/>
  <c r="G250" i="11" s="1"/>
  <c r="D249" i="11"/>
  <c r="G249" i="11" s="1"/>
  <c r="I249" i="11" s="1"/>
  <c r="D248" i="11"/>
  <c r="G248" i="11" s="1"/>
  <c r="I248" i="11" s="1"/>
  <c r="D247" i="11"/>
  <c r="G247" i="11" s="1"/>
  <c r="I247" i="11" s="1"/>
  <c r="D246" i="11"/>
  <c r="G246" i="11" s="1"/>
  <c r="I246" i="11" s="1"/>
  <c r="G245" i="11"/>
  <c r="I245" i="11" s="1"/>
  <c r="D245" i="11"/>
  <c r="I244" i="11"/>
  <c r="D244" i="11"/>
  <c r="G244" i="11" s="1"/>
  <c r="D243" i="11"/>
  <c r="G243" i="11" s="1"/>
  <c r="I243" i="11" s="1"/>
  <c r="D242" i="11"/>
  <c r="G242" i="11" s="1"/>
  <c r="D241" i="11"/>
  <c r="G241" i="11" s="1"/>
  <c r="I241" i="11" s="1"/>
  <c r="G240" i="11"/>
  <c r="I240" i="11" s="1"/>
  <c r="D240" i="11"/>
  <c r="I239" i="11"/>
  <c r="D239" i="11"/>
  <c r="G239" i="11" s="1"/>
  <c r="G238" i="11"/>
  <c r="I238" i="11" s="1"/>
  <c r="D238" i="11"/>
  <c r="D237" i="11"/>
  <c r="G237" i="11" s="1"/>
  <c r="I237" i="11" s="1"/>
  <c r="D236" i="11"/>
  <c r="G236" i="11" s="1"/>
  <c r="I236" i="11" s="1"/>
  <c r="I235" i="11"/>
  <c r="D235" i="11"/>
  <c r="G235" i="11" s="1"/>
  <c r="D234" i="11"/>
  <c r="G234" i="11" s="1"/>
  <c r="I234" i="11" s="1"/>
  <c r="D233" i="11"/>
  <c r="G233" i="11" s="1"/>
  <c r="I233" i="11" s="1"/>
  <c r="G232" i="11"/>
  <c r="I232" i="11" s="1"/>
  <c r="D232" i="11"/>
  <c r="D231" i="11"/>
  <c r="G231" i="11" s="1"/>
  <c r="I231" i="11" s="1"/>
  <c r="D230" i="11"/>
  <c r="G230" i="11" s="1"/>
  <c r="I230" i="11" s="1"/>
  <c r="D229" i="11"/>
  <c r="G229" i="11" s="1"/>
  <c r="I229" i="11" s="1"/>
  <c r="D228" i="11"/>
  <c r="G228" i="11" s="1"/>
  <c r="I228" i="11" s="1"/>
  <c r="D227" i="11"/>
  <c r="G227" i="11" s="1"/>
  <c r="I227" i="11" s="1"/>
  <c r="D226" i="11"/>
  <c r="G226" i="11" s="1"/>
  <c r="I226" i="11" s="1"/>
  <c r="D225" i="11"/>
  <c r="G225" i="11" s="1"/>
  <c r="I225" i="11" s="1"/>
  <c r="D224" i="11"/>
  <c r="G224" i="11" s="1"/>
  <c r="I224" i="11" s="1"/>
  <c r="D223" i="11"/>
  <c r="G223" i="11" s="1"/>
  <c r="I223" i="11" s="1"/>
  <c r="G222" i="11"/>
  <c r="I222" i="11" s="1"/>
  <c r="D222" i="11"/>
  <c r="D221" i="11"/>
  <c r="G221" i="11" s="1"/>
  <c r="I221" i="11" s="1"/>
  <c r="D220" i="11"/>
  <c r="G220" i="11" s="1"/>
  <c r="I220" i="11" s="1"/>
  <c r="D219" i="11"/>
  <c r="G219" i="11" s="1"/>
  <c r="I219" i="11" s="1"/>
  <c r="D218" i="11"/>
  <c r="G218" i="11" s="1"/>
  <c r="I218" i="11" s="1"/>
  <c r="D217" i="11"/>
  <c r="G217" i="11" s="1"/>
  <c r="I217" i="11" s="1"/>
  <c r="G216" i="11"/>
  <c r="I216" i="11" s="1"/>
  <c r="D216" i="11"/>
  <c r="D215" i="11"/>
  <c r="G215" i="11" s="1"/>
  <c r="I215" i="11" s="1"/>
  <c r="D214" i="11"/>
  <c r="G214" i="11" s="1"/>
  <c r="I214" i="11" s="1"/>
  <c r="D213" i="11"/>
  <c r="G213" i="11" s="1"/>
  <c r="I213" i="11" s="1"/>
  <c r="G212" i="11"/>
  <c r="I212" i="11" s="1"/>
  <c r="D212" i="11"/>
  <c r="I211" i="11"/>
  <c r="D211" i="11"/>
  <c r="G211" i="11" s="1"/>
  <c r="D209" i="11"/>
  <c r="G209" i="11" s="1"/>
  <c r="I209" i="11" s="1"/>
  <c r="I208" i="11"/>
  <c r="D208" i="11"/>
  <c r="G208" i="11" s="1"/>
  <c r="G207" i="11"/>
  <c r="I207" i="11" s="1"/>
  <c r="D207" i="11"/>
  <c r="I206" i="11"/>
  <c r="D206" i="11"/>
  <c r="G206" i="11" s="1"/>
  <c r="D205" i="11"/>
  <c r="G205" i="11" s="1"/>
  <c r="I205" i="11" s="1"/>
  <c r="I204" i="11"/>
  <c r="D204" i="11"/>
  <c r="G204" i="11" s="1"/>
  <c r="G203" i="11"/>
  <c r="I203" i="11" s="1"/>
  <c r="D203" i="11"/>
  <c r="I202" i="11"/>
  <c r="D202" i="11"/>
  <c r="G202" i="11" s="1"/>
  <c r="D201" i="11"/>
  <c r="G201" i="11" s="1"/>
  <c r="I201" i="11" s="1"/>
  <c r="I200" i="11"/>
  <c r="D200" i="11"/>
  <c r="G200" i="11" s="1"/>
  <c r="G199" i="11"/>
  <c r="I199" i="11" s="1"/>
  <c r="D199" i="11"/>
  <c r="D198" i="11"/>
  <c r="G198" i="11" s="1"/>
  <c r="I198" i="11" s="1"/>
  <c r="D197" i="11"/>
  <c r="G197" i="11" s="1"/>
  <c r="I197" i="11" s="1"/>
  <c r="D196" i="11"/>
  <c r="G196" i="11" s="1"/>
  <c r="I196" i="11" s="1"/>
  <c r="G195" i="11"/>
  <c r="I195" i="11" s="1"/>
  <c r="D195" i="11"/>
  <c r="D194" i="11"/>
  <c r="G194" i="11" s="1"/>
  <c r="I194" i="11" s="1"/>
  <c r="D193" i="11"/>
  <c r="G193" i="11" s="1"/>
  <c r="I193" i="11" s="1"/>
  <c r="D192" i="11"/>
  <c r="G192" i="11" s="1"/>
  <c r="I192" i="11" s="1"/>
  <c r="D191" i="11"/>
  <c r="G191" i="11" s="1"/>
  <c r="I191" i="11" s="1"/>
  <c r="D190" i="11"/>
  <c r="G190" i="11" s="1"/>
  <c r="I190" i="11" s="1"/>
  <c r="D189" i="11"/>
  <c r="G189" i="11" s="1"/>
  <c r="I189" i="11" s="1"/>
  <c r="D188" i="11"/>
  <c r="G188" i="11" s="1"/>
  <c r="I188" i="11" s="1"/>
  <c r="D187" i="11"/>
  <c r="G187" i="11" s="1"/>
  <c r="I187" i="11" s="1"/>
  <c r="I186" i="11"/>
  <c r="D186" i="11"/>
  <c r="G186" i="11" s="1"/>
  <c r="G185" i="11"/>
  <c r="I185" i="11" s="1"/>
  <c r="D185" i="11"/>
  <c r="I184" i="11"/>
  <c r="D184" i="11"/>
  <c r="G184" i="11" s="1"/>
  <c r="D183" i="11"/>
  <c r="G183" i="11" s="1"/>
  <c r="I183" i="11" s="1"/>
  <c r="G182" i="11"/>
  <c r="D182" i="11"/>
  <c r="G181" i="11"/>
  <c r="D181" i="11"/>
  <c r="I180" i="11"/>
  <c r="D180" i="11"/>
  <c r="G180" i="11" s="1"/>
  <c r="D179" i="11"/>
  <c r="G179" i="11" s="1"/>
  <c r="I179" i="11" s="1"/>
  <c r="I178" i="11"/>
  <c r="D178" i="11"/>
  <c r="G178" i="11" s="1"/>
  <c r="G177" i="11"/>
  <c r="I177" i="11" s="1"/>
  <c r="D177" i="11"/>
  <c r="I176" i="11"/>
  <c r="D176" i="11"/>
  <c r="G176" i="11" s="1"/>
  <c r="D175" i="11"/>
  <c r="G175" i="11" s="1"/>
  <c r="I175" i="11" s="1"/>
  <c r="I174" i="11"/>
  <c r="D174" i="11"/>
  <c r="G174" i="11" s="1"/>
  <c r="G173" i="11"/>
  <c r="I173" i="11" s="1"/>
  <c r="D173" i="11"/>
  <c r="D172" i="11"/>
  <c r="G172" i="11" s="1"/>
  <c r="I172" i="11" s="1"/>
  <c r="D171" i="11"/>
  <c r="G171" i="11" s="1"/>
  <c r="I171" i="11" s="1"/>
  <c r="D170" i="11"/>
  <c r="G170" i="11" s="1"/>
  <c r="I170" i="11" s="1"/>
  <c r="D169" i="11"/>
  <c r="G169" i="11" s="1"/>
  <c r="I169" i="11" s="1"/>
  <c r="D168" i="11"/>
  <c r="G168" i="11" s="1"/>
  <c r="I168" i="11" s="1"/>
  <c r="D167" i="11"/>
  <c r="G167" i="11" s="1"/>
  <c r="I167" i="11" s="1"/>
  <c r="D166" i="11"/>
  <c r="G166" i="11" s="1"/>
  <c r="I166" i="11" s="1"/>
  <c r="D165" i="11"/>
  <c r="G165" i="11" s="1"/>
  <c r="I165" i="11" s="1"/>
  <c r="D164" i="11"/>
  <c r="G164" i="11" s="1"/>
  <c r="I164" i="11" s="1"/>
  <c r="D163" i="11"/>
  <c r="G163" i="11" s="1"/>
  <c r="I163" i="11" s="1"/>
  <c r="D162" i="11"/>
  <c r="G162" i="11" s="1"/>
  <c r="I162" i="11" s="1"/>
  <c r="I161" i="11"/>
  <c r="D160" i="11"/>
  <c r="G160" i="11" s="1"/>
  <c r="I160" i="11" s="1"/>
  <c r="D159" i="11"/>
  <c r="G159" i="11" s="1"/>
  <c r="I159" i="11" s="1"/>
  <c r="D158" i="11"/>
  <c r="G158" i="11" s="1"/>
  <c r="I158" i="11" s="1"/>
  <c r="G157" i="11"/>
  <c r="I157" i="11" s="1"/>
  <c r="D157" i="11"/>
  <c r="D156" i="11"/>
  <c r="G156" i="11" s="1"/>
  <c r="I156" i="11" s="1"/>
  <c r="D155" i="11"/>
  <c r="G155" i="11" s="1"/>
  <c r="I155" i="11" s="1"/>
  <c r="D154" i="11"/>
  <c r="G154" i="11" s="1"/>
  <c r="I154" i="11" s="1"/>
  <c r="G153" i="11"/>
  <c r="I153" i="11" s="1"/>
  <c r="D153" i="11"/>
  <c r="D152" i="11"/>
  <c r="G152" i="11" s="1"/>
  <c r="I152" i="11" s="1"/>
  <c r="D151" i="11"/>
  <c r="G151" i="11" s="1"/>
  <c r="I151" i="11" s="1"/>
  <c r="D150" i="11"/>
  <c r="G150" i="11" s="1"/>
  <c r="I150" i="11" s="1"/>
  <c r="D149" i="11"/>
  <c r="G149" i="11" s="1"/>
  <c r="I149" i="11" s="1"/>
  <c r="D148" i="11"/>
  <c r="G148" i="11" s="1"/>
  <c r="I148" i="11" s="1"/>
  <c r="D147" i="11"/>
  <c r="G147" i="11" s="1"/>
  <c r="I147" i="11" s="1"/>
  <c r="D146" i="11"/>
  <c r="G146" i="11" s="1"/>
  <c r="I146" i="11" s="1"/>
  <c r="G145" i="11"/>
  <c r="I145" i="11" s="1"/>
  <c r="D145" i="11"/>
  <c r="D144" i="11"/>
  <c r="G144" i="11" s="1"/>
  <c r="I144" i="11" s="1"/>
  <c r="D143" i="11"/>
  <c r="G143" i="11" s="1"/>
  <c r="I143" i="11" s="1"/>
  <c r="D142" i="11"/>
  <c r="G142" i="11" s="1"/>
  <c r="I142" i="11" s="1"/>
  <c r="G141" i="11"/>
  <c r="I141" i="11" s="1"/>
  <c r="D141" i="11"/>
  <c r="D140" i="11"/>
  <c r="G140" i="11" s="1"/>
  <c r="I140" i="11" s="1"/>
  <c r="D139" i="11"/>
  <c r="G139" i="11" s="1"/>
  <c r="I139" i="11" s="1"/>
  <c r="D138" i="11"/>
  <c r="G138" i="11" s="1"/>
  <c r="I138" i="11" s="1"/>
  <c r="G137" i="11"/>
  <c r="I137" i="11" s="1"/>
  <c r="D137" i="11"/>
  <c r="D136" i="11"/>
  <c r="G136" i="11" s="1"/>
  <c r="I136" i="11" s="1"/>
  <c r="D135" i="11"/>
  <c r="G135" i="11" s="1"/>
  <c r="I135" i="11" s="1"/>
  <c r="D134" i="11"/>
  <c r="G134" i="11" s="1"/>
  <c r="I134" i="11" s="1"/>
  <c r="D133" i="11"/>
  <c r="G133" i="11" s="1"/>
  <c r="I133" i="11" s="1"/>
  <c r="D132" i="11"/>
  <c r="G132" i="11" s="1"/>
  <c r="I132" i="11" s="1"/>
  <c r="D131" i="11"/>
  <c r="G131" i="11" s="1"/>
  <c r="I131" i="11" s="1"/>
  <c r="D130" i="11"/>
  <c r="G130" i="11" s="1"/>
  <c r="I130" i="11" s="1"/>
  <c r="D129" i="11"/>
  <c r="G129" i="11" s="1"/>
  <c r="I129" i="11" s="1"/>
  <c r="D128" i="11"/>
  <c r="G128" i="11" s="1"/>
  <c r="I128" i="11" s="1"/>
  <c r="D127" i="11"/>
  <c r="G127" i="11" s="1"/>
  <c r="I127" i="11" s="1"/>
  <c r="D126" i="11"/>
  <c r="G126" i="11" s="1"/>
  <c r="I126" i="11" s="1"/>
  <c r="D125" i="11"/>
  <c r="G125" i="11" s="1"/>
  <c r="I125" i="11" s="1"/>
  <c r="D124" i="11"/>
  <c r="G124" i="11" s="1"/>
  <c r="I124" i="11" s="1"/>
  <c r="G123" i="11"/>
  <c r="I123" i="11" s="1"/>
  <c r="D123" i="11"/>
  <c r="D122" i="11"/>
  <c r="G122" i="11" s="1"/>
  <c r="I122" i="11" s="1"/>
  <c r="D121" i="11"/>
  <c r="G121" i="11" s="1"/>
  <c r="I121" i="11" s="1"/>
  <c r="D120" i="11"/>
  <c r="G120" i="11" s="1"/>
  <c r="I120" i="11" s="1"/>
  <c r="G119" i="11"/>
  <c r="I119" i="11" s="1"/>
  <c r="D119" i="11"/>
  <c r="D118" i="11"/>
  <c r="G118" i="11" s="1"/>
  <c r="I118" i="11" s="1"/>
  <c r="D117" i="11"/>
  <c r="G117" i="11" s="1"/>
  <c r="I117" i="11" s="1"/>
  <c r="D116" i="11"/>
  <c r="G116" i="11" s="1"/>
  <c r="I116" i="11" s="1"/>
  <c r="D115" i="11"/>
  <c r="G115" i="11" s="1"/>
  <c r="I115" i="11" s="1"/>
  <c r="D114" i="11"/>
  <c r="G114" i="11" s="1"/>
  <c r="I114" i="11" s="1"/>
  <c r="G113" i="11"/>
  <c r="I113" i="11" s="1"/>
  <c r="D113" i="11"/>
  <c r="D112" i="11"/>
  <c r="G112" i="11" s="1"/>
  <c r="I112" i="11" s="1"/>
  <c r="D110" i="11"/>
  <c r="G110" i="11" s="1"/>
  <c r="I110" i="11" s="1"/>
  <c r="D109" i="11"/>
  <c r="G109" i="11" s="1"/>
  <c r="I109" i="11" s="1"/>
  <c r="G108" i="11"/>
  <c r="I108" i="11" s="1"/>
  <c r="D108" i="11"/>
  <c r="D107" i="11"/>
  <c r="G107" i="11" s="1"/>
  <c r="I107" i="11" s="1"/>
  <c r="D106" i="11"/>
  <c r="G106" i="11" s="1"/>
  <c r="I106" i="11" s="1"/>
  <c r="D105" i="11"/>
  <c r="G105" i="11" s="1"/>
  <c r="I105" i="11" s="1"/>
  <c r="D104" i="11"/>
  <c r="G104" i="11" s="1"/>
  <c r="I104" i="11" s="1"/>
  <c r="D103" i="11"/>
  <c r="G103" i="11" s="1"/>
  <c r="I103" i="11" s="1"/>
  <c r="G102" i="11"/>
  <c r="I102" i="11" s="1"/>
  <c r="D102" i="11"/>
  <c r="D101" i="11"/>
  <c r="G101" i="11" s="1"/>
  <c r="I101" i="11" s="1"/>
  <c r="D100" i="11"/>
  <c r="G100" i="11" s="1"/>
  <c r="I100" i="11" s="1"/>
  <c r="D99" i="11"/>
  <c r="G99" i="11" s="1"/>
  <c r="I99" i="11" s="1"/>
  <c r="D98" i="11"/>
  <c r="G98" i="11" s="1"/>
  <c r="I98" i="11" s="1"/>
  <c r="D97" i="11"/>
  <c r="G97" i="11" s="1"/>
  <c r="I97" i="11" s="1"/>
  <c r="G96" i="11"/>
  <c r="I96" i="11" s="1"/>
  <c r="D96" i="11"/>
  <c r="D95" i="11"/>
  <c r="G95" i="11" s="1"/>
  <c r="I95" i="11" s="1"/>
  <c r="D94" i="11"/>
  <c r="G94" i="11" s="1"/>
  <c r="I94" i="11" s="1"/>
  <c r="D93" i="11"/>
  <c r="G93" i="11" s="1"/>
  <c r="I93" i="11" s="1"/>
  <c r="D92" i="11"/>
  <c r="G92" i="11" s="1"/>
  <c r="I92" i="11" s="1"/>
  <c r="D91" i="11"/>
  <c r="G91" i="11" s="1"/>
  <c r="I91" i="11" s="1"/>
  <c r="D90" i="11"/>
  <c r="G90" i="11" s="1"/>
  <c r="I90" i="11" s="1"/>
  <c r="D89" i="11"/>
  <c r="G89" i="11" s="1"/>
  <c r="I89" i="11" s="1"/>
  <c r="D88" i="11"/>
  <c r="G88" i="11" s="1"/>
  <c r="I88" i="11" s="1"/>
  <c r="D87" i="11"/>
  <c r="G87" i="11" s="1"/>
  <c r="I87" i="11" s="1"/>
  <c r="D86" i="11"/>
  <c r="G86" i="11" s="1"/>
  <c r="I86" i="11" s="1"/>
  <c r="D85" i="11"/>
  <c r="G85" i="11" s="1"/>
  <c r="I85" i="11" s="1"/>
  <c r="D84" i="11"/>
  <c r="G84" i="11" s="1"/>
  <c r="I84" i="11" s="1"/>
  <c r="D83" i="11"/>
  <c r="G83" i="11" s="1"/>
  <c r="I83" i="11" s="1"/>
  <c r="G82" i="11"/>
  <c r="I82" i="11" s="1"/>
  <c r="D82" i="11"/>
  <c r="D80" i="11"/>
  <c r="G80" i="11" s="1"/>
  <c r="I80" i="11" s="1"/>
  <c r="D79" i="11"/>
  <c r="G79" i="11" s="1"/>
  <c r="I79" i="11" s="1"/>
  <c r="D78" i="11"/>
  <c r="G78" i="11" s="1"/>
  <c r="I78" i="11" s="1"/>
  <c r="D77" i="11"/>
  <c r="G77" i="11" s="1"/>
  <c r="I77" i="11" s="1"/>
  <c r="D76" i="11"/>
  <c r="G76" i="11" s="1"/>
  <c r="I76" i="11" s="1"/>
  <c r="G75" i="11"/>
  <c r="I75" i="11" s="1"/>
  <c r="D75" i="11"/>
  <c r="D74" i="11"/>
  <c r="G74" i="11" s="1"/>
  <c r="I74" i="11" s="1"/>
  <c r="D73" i="11"/>
  <c r="G73" i="11" s="1"/>
  <c r="I73" i="11" s="1"/>
  <c r="D72" i="11"/>
  <c r="G72" i="11" s="1"/>
  <c r="I72" i="11" s="1"/>
  <c r="G71" i="11"/>
  <c r="I71" i="11" s="1"/>
  <c r="D71" i="11"/>
  <c r="D70" i="11"/>
  <c r="G70" i="11" s="1"/>
  <c r="I70" i="11" s="1"/>
  <c r="D69" i="11"/>
  <c r="G69" i="11" s="1"/>
  <c r="I69" i="11" s="1"/>
  <c r="D68" i="11"/>
  <c r="G68" i="11" s="1"/>
  <c r="I68" i="11" s="1"/>
  <c r="G67" i="11"/>
  <c r="I67" i="11" s="1"/>
  <c r="D67" i="11"/>
  <c r="D66" i="11"/>
  <c r="G66" i="11" s="1"/>
  <c r="I66" i="11" s="1"/>
  <c r="D65" i="11"/>
  <c r="G65" i="11" s="1"/>
  <c r="I65" i="11" s="1"/>
  <c r="D64" i="11"/>
  <c r="G64" i="11" s="1"/>
  <c r="I64" i="11" s="1"/>
  <c r="D63" i="11"/>
  <c r="G63" i="11" s="1"/>
  <c r="I63" i="11" s="1"/>
  <c r="D62" i="11"/>
  <c r="G62" i="11" s="1"/>
  <c r="I62" i="11" s="1"/>
  <c r="D61" i="11"/>
  <c r="G61" i="11" s="1"/>
  <c r="I61" i="11" s="1"/>
  <c r="D60" i="11"/>
  <c r="G60" i="11" s="1"/>
  <c r="I60" i="11" s="1"/>
  <c r="D59" i="11"/>
  <c r="G59" i="11" s="1"/>
  <c r="I59" i="11" s="1"/>
  <c r="D58" i="11"/>
  <c r="G58" i="11" s="1"/>
  <c r="I58" i="11" s="1"/>
  <c r="D57" i="11"/>
  <c r="G57" i="11" s="1"/>
  <c r="I57" i="11" s="1"/>
  <c r="D56" i="11"/>
  <c r="G56" i="11" s="1"/>
  <c r="I56" i="11" s="1"/>
  <c r="G55" i="11"/>
  <c r="I55" i="11" s="1"/>
  <c r="D55" i="11"/>
  <c r="D54" i="11"/>
  <c r="G54" i="11" s="1"/>
  <c r="I54" i="11" s="1"/>
  <c r="D53" i="11"/>
  <c r="G53" i="11" s="1"/>
  <c r="I53" i="11" s="1"/>
  <c r="D52" i="11"/>
  <c r="G52" i="11" s="1"/>
  <c r="I52" i="11" s="1"/>
  <c r="D51" i="11"/>
  <c r="G51" i="11" s="1"/>
  <c r="I51" i="11" s="1"/>
  <c r="D50" i="11"/>
  <c r="G50" i="11" s="1"/>
  <c r="I50" i="11" s="1"/>
  <c r="D49" i="11"/>
  <c r="G49" i="11" s="1"/>
  <c r="I49" i="11" s="1"/>
  <c r="D48" i="11"/>
  <c r="G48" i="11" s="1"/>
  <c r="I48" i="11" s="1"/>
  <c r="G47" i="11"/>
  <c r="I47" i="11" s="1"/>
  <c r="D47" i="11"/>
  <c r="D46" i="11"/>
  <c r="G46" i="11" s="1"/>
  <c r="I46" i="11" s="1"/>
  <c r="D45" i="11"/>
  <c r="G45" i="11" s="1"/>
  <c r="I45" i="11" s="1"/>
  <c r="D44" i="11"/>
  <c r="G44" i="11" s="1"/>
  <c r="I44" i="11" s="1"/>
  <c r="D43" i="11"/>
  <c r="G43" i="11" s="1"/>
  <c r="I43" i="11" s="1"/>
  <c r="D42" i="11"/>
  <c r="G42" i="11" s="1"/>
  <c r="I42" i="11" s="1"/>
  <c r="G41" i="11"/>
  <c r="I41" i="11" s="1"/>
  <c r="D41" i="11"/>
  <c r="D40" i="11"/>
  <c r="G40" i="11" s="1"/>
  <c r="I40" i="11" s="1"/>
  <c r="D39" i="11"/>
  <c r="G39" i="11" s="1"/>
  <c r="I39" i="11" s="1"/>
  <c r="D38" i="11"/>
  <c r="G38" i="11" s="1"/>
  <c r="I38" i="11" s="1"/>
  <c r="D37" i="11"/>
  <c r="G37" i="11" s="1"/>
  <c r="I37" i="11" s="1"/>
  <c r="D36" i="11"/>
  <c r="G36" i="11" s="1"/>
  <c r="I36" i="11" s="1"/>
  <c r="G35" i="11"/>
  <c r="I35" i="11" s="1"/>
  <c r="D35" i="11"/>
  <c r="D34" i="11"/>
  <c r="G34" i="11" s="1"/>
  <c r="I34" i="11" s="1"/>
  <c r="D33" i="11"/>
  <c r="G33" i="11" s="1"/>
  <c r="I33" i="11" s="1"/>
  <c r="D32" i="11"/>
  <c r="G32" i="11" s="1"/>
  <c r="I32" i="11" s="1"/>
  <c r="G31" i="11"/>
  <c r="I31" i="11" s="1"/>
  <c r="D31" i="11"/>
  <c r="D30" i="11"/>
  <c r="G30" i="11" s="1"/>
  <c r="I30" i="11" s="1"/>
  <c r="D29" i="11"/>
  <c r="G29" i="11" s="1"/>
  <c r="I29" i="11" s="1"/>
  <c r="D28" i="11"/>
  <c r="G28" i="11" s="1"/>
  <c r="I28" i="11" s="1"/>
  <c r="G27" i="11"/>
  <c r="I27" i="11" s="1"/>
  <c r="D27" i="11"/>
  <c r="D26" i="11"/>
  <c r="G26" i="11" s="1"/>
  <c r="I26" i="11" s="1"/>
  <c r="D25" i="11"/>
  <c r="G25" i="11" s="1"/>
  <c r="I25" i="11" s="1"/>
  <c r="D24" i="11"/>
  <c r="G24" i="11" s="1"/>
  <c r="I24" i="11" s="1"/>
  <c r="D23" i="11"/>
  <c r="G23" i="11" s="1"/>
  <c r="I23" i="11" s="1"/>
  <c r="D22" i="11"/>
  <c r="G22" i="11" s="1"/>
  <c r="I22" i="11" s="1"/>
  <c r="D21" i="11"/>
  <c r="G21" i="11" s="1"/>
  <c r="I21" i="11" s="1"/>
  <c r="D20" i="11"/>
  <c r="G20" i="11" s="1"/>
  <c r="I20" i="11" s="1"/>
  <c r="G19" i="11"/>
  <c r="I19" i="11" s="1"/>
  <c r="D19" i="11"/>
  <c r="D18" i="11"/>
  <c r="G18" i="11" s="1"/>
  <c r="I18" i="11" s="1"/>
  <c r="D17" i="11"/>
  <c r="G17" i="11" s="1"/>
  <c r="I17" i="11" s="1"/>
  <c r="D16" i="11"/>
  <c r="G16" i="11" s="1"/>
  <c r="I16" i="11" s="1"/>
  <c r="G15" i="11"/>
  <c r="I15" i="11" s="1"/>
  <c r="D15" i="11"/>
  <c r="D14" i="11"/>
  <c r="G14" i="11" s="1"/>
  <c r="I14" i="11" s="1"/>
  <c r="D13" i="11"/>
  <c r="G13" i="11" s="1"/>
  <c r="I13" i="11" s="1"/>
  <c r="D12" i="11"/>
  <c r="G12" i="11" s="1"/>
  <c r="I12" i="11" s="1"/>
  <c r="G11" i="11"/>
  <c r="I11" i="11" s="1"/>
  <c r="D11" i="11"/>
  <c r="D10" i="11"/>
  <c r="G10" i="11" s="1"/>
  <c r="I10" i="11" s="1"/>
  <c r="D9" i="11"/>
  <c r="G9" i="11" s="1"/>
  <c r="I9" i="11" s="1"/>
  <c r="D8" i="11"/>
  <c r="G8" i="11" s="1"/>
  <c r="I8" i="11" s="1"/>
  <c r="D7" i="11"/>
  <c r="G7" i="11" s="1"/>
  <c r="I7" i="11" s="1"/>
  <c r="D6" i="11"/>
  <c r="G6" i="11" s="1"/>
  <c r="I6" i="11" s="1"/>
  <c r="D5" i="11"/>
  <c r="G5" i="11" s="1"/>
  <c r="I5" i="11" s="1"/>
  <c r="I376" i="11" l="1"/>
  <c r="D363" i="9" l="1"/>
  <c r="G363" i="9" s="1"/>
  <c r="I363" i="9" s="1"/>
  <c r="G362" i="9"/>
  <c r="I362" i="9" s="1"/>
  <c r="D362" i="9"/>
  <c r="D361" i="9"/>
  <c r="G361" i="9" s="1"/>
  <c r="I361" i="9" s="1"/>
  <c r="D360" i="9"/>
  <c r="G360" i="9" s="1"/>
  <c r="I360" i="9" s="1"/>
  <c r="D359" i="9"/>
  <c r="G359" i="9" s="1"/>
  <c r="I359" i="9" s="1"/>
  <c r="D358" i="9"/>
  <c r="G358" i="9" s="1"/>
  <c r="I358" i="9" s="1"/>
  <c r="D357" i="9"/>
  <c r="G357" i="9" s="1"/>
  <c r="I357" i="9" s="1"/>
  <c r="D356" i="9"/>
  <c r="G356" i="9" s="1"/>
  <c r="I356" i="9" s="1"/>
  <c r="D355" i="9"/>
  <c r="G355" i="9" s="1"/>
  <c r="I355" i="9" s="1"/>
  <c r="D354" i="9"/>
  <c r="G354" i="9" s="1"/>
  <c r="I354" i="9" s="1"/>
  <c r="D353" i="9"/>
  <c r="G353" i="9" s="1"/>
  <c r="I353" i="9" s="1"/>
  <c r="D352" i="9"/>
  <c r="G352" i="9" s="1"/>
  <c r="I352" i="9" s="1"/>
  <c r="D351" i="9"/>
  <c r="G351" i="9" s="1"/>
  <c r="I351" i="9" s="1"/>
  <c r="D350" i="9"/>
  <c r="G350" i="9" s="1"/>
  <c r="I350" i="9" s="1"/>
  <c r="D349" i="9"/>
  <c r="G349" i="9" s="1"/>
  <c r="I349" i="9" s="1"/>
  <c r="G348" i="9"/>
  <c r="I348" i="9" s="1"/>
  <c r="D348" i="9"/>
  <c r="D347" i="9"/>
  <c r="G347" i="9" s="1"/>
  <c r="I347" i="9" s="1"/>
  <c r="D346" i="9"/>
  <c r="G346" i="9" s="1"/>
  <c r="I346" i="9" s="1"/>
  <c r="D345" i="9"/>
  <c r="G345" i="9" s="1"/>
  <c r="I345" i="9" s="1"/>
  <c r="D344" i="9"/>
  <c r="G344" i="9" s="1"/>
  <c r="I344" i="9" s="1"/>
  <c r="D343" i="9"/>
  <c r="G343" i="9" s="1"/>
  <c r="I343" i="9" s="1"/>
  <c r="D342" i="9"/>
  <c r="G342" i="9" s="1"/>
  <c r="I342" i="9" s="1"/>
  <c r="D341" i="9"/>
  <c r="G341" i="9" s="1"/>
  <c r="I341" i="9" s="1"/>
  <c r="G340" i="9"/>
  <c r="I340" i="9" s="1"/>
  <c r="D340" i="9"/>
  <c r="D339" i="9"/>
  <c r="G339" i="9" s="1"/>
  <c r="I339" i="9" s="1"/>
  <c r="D338" i="9"/>
  <c r="G338" i="9" s="1"/>
  <c r="I338" i="9" s="1"/>
  <c r="D337" i="9"/>
  <c r="G337" i="9" s="1"/>
  <c r="I337" i="9" s="1"/>
  <c r="D336" i="9"/>
  <c r="G336" i="9" s="1"/>
  <c r="I336" i="9" s="1"/>
  <c r="D335" i="9"/>
  <c r="G335" i="9" s="1"/>
  <c r="I335" i="9" s="1"/>
  <c r="D334" i="9"/>
  <c r="G334" i="9" s="1"/>
  <c r="I334" i="9" s="1"/>
  <c r="D333" i="9"/>
  <c r="G333" i="9" s="1"/>
  <c r="I333" i="9" s="1"/>
  <c r="G332" i="9"/>
  <c r="I332" i="9" s="1"/>
  <c r="D332" i="9"/>
  <c r="D331" i="9"/>
  <c r="G331" i="9" s="1"/>
  <c r="I331" i="9" s="1"/>
  <c r="D330" i="9"/>
  <c r="G330" i="9" s="1"/>
  <c r="I330" i="9" s="1"/>
  <c r="D329" i="9"/>
  <c r="G329" i="9" s="1"/>
  <c r="I329" i="9" s="1"/>
  <c r="D328" i="9"/>
  <c r="G328" i="9" s="1"/>
  <c r="I328" i="9" s="1"/>
  <c r="D327" i="9"/>
  <c r="G327" i="9" s="1"/>
  <c r="I327" i="9" s="1"/>
  <c r="D326" i="9"/>
  <c r="G326" i="9" s="1"/>
  <c r="I326" i="9" s="1"/>
  <c r="D325" i="9"/>
  <c r="G325" i="9" s="1"/>
  <c r="I325" i="9" s="1"/>
  <c r="G324" i="9"/>
  <c r="I324" i="9" s="1"/>
  <c r="D324" i="9"/>
  <c r="D323" i="9"/>
  <c r="G323" i="9" s="1"/>
  <c r="I323" i="9" s="1"/>
  <c r="D322" i="9"/>
  <c r="G322" i="9" s="1"/>
  <c r="I322" i="9" s="1"/>
  <c r="D321" i="9"/>
  <c r="G321" i="9" s="1"/>
  <c r="I321" i="9" s="1"/>
  <c r="D320" i="9"/>
  <c r="G320" i="9" s="1"/>
  <c r="I320" i="9" s="1"/>
  <c r="D319" i="9"/>
  <c r="G319" i="9" s="1"/>
  <c r="I319" i="9" s="1"/>
  <c r="D318" i="9"/>
  <c r="G318" i="9" s="1"/>
  <c r="I318" i="9" s="1"/>
  <c r="D317" i="9"/>
  <c r="G317" i="9" s="1"/>
  <c r="I317" i="9" s="1"/>
  <c r="G316" i="9"/>
  <c r="I316" i="9" s="1"/>
  <c r="D316" i="9"/>
  <c r="D315" i="9"/>
  <c r="G315" i="9" s="1"/>
  <c r="I315" i="9" s="1"/>
  <c r="D314" i="9"/>
  <c r="G314" i="9" s="1"/>
  <c r="I314" i="9" s="1"/>
  <c r="D313" i="9"/>
  <c r="G313" i="9" s="1"/>
  <c r="I313" i="9" s="1"/>
  <c r="D312" i="9"/>
  <c r="G312" i="9" s="1"/>
  <c r="I312" i="9" s="1"/>
  <c r="D311" i="9"/>
  <c r="G311" i="9" s="1"/>
  <c r="I311" i="9" s="1"/>
  <c r="D310" i="9"/>
  <c r="G310" i="9" s="1"/>
  <c r="I310" i="9" s="1"/>
  <c r="D309" i="9"/>
  <c r="G309" i="9" s="1"/>
  <c r="I309" i="9" s="1"/>
  <c r="G308" i="9"/>
  <c r="I308" i="9" s="1"/>
  <c r="D308" i="9"/>
  <c r="D307" i="9"/>
  <c r="G307" i="9" s="1"/>
  <c r="I307" i="9" s="1"/>
  <c r="D306" i="9"/>
  <c r="G306" i="9" s="1"/>
  <c r="I306" i="9" s="1"/>
  <c r="D305" i="9"/>
  <c r="G305" i="9" s="1"/>
  <c r="I305" i="9" s="1"/>
  <c r="D304" i="9"/>
  <c r="G304" i="9" s="1"/>
  <c r="I304" i="9" s="1"/>
  <c r="D303" i="9"/>
  <c r="G303" i="9" s="1"/>
  <c r="I303" i="9" s="1"/>
  <c r="D302" i="9"/>
  <c r="G302" i="9" s="1"/>
  <c r="I302" i="9" s="1"/>
  <c r="D301" i="9"/>
  <c r="G301" i="9" s="1"/>
  <c r="I301" i="9" s="1"/>
  <c r="G300" i="9"/>
  <c r="I300" i="9" s="1"/>
  <c r="D300" i="9"/>
  <c r="D299" i="9"/>
  <c r="G299" i="9" s="1"/>
  <c r="I299" i="9" s="1"/>
  <c r="D297" i="9"/>
  <c r="G297" i="9" s="1"/>
  <c r="I297" i="9" s="1"/>
  <c r="D296" i="9"/>
  <c r="G296" i="9" s="1"/>
  <c r="I296" i="9" s="1"/>
  <c r="D295" i="9"/>
  <c r="G295" i="9" s="1"/>
  <c r="I295" i="9" s="1"/>
  <c r="D294" i="9"/>
  <c r="G294" i="9" s="1"/>
  <c r="I294" i="9" s="1"/>
  <c r="D293" i="9"/>
  <c r="G293" i="9" s="1"/>
  <c r="I293" i="9" s="1"/>
  <c r="D292" i="9"/>
  <c r="G292" i="9" s="1"/>
  <c r="I292" i="9" s="1"/>
  <c r="G291" i="9"/>
  <c r="I291" i="9" s="1"/>
  <c r="D291" i="9"/>
  <c r="D290" i="9"/>
  <c r="G290" i="9" s="1"/>
  <c r="I290" i="9" s="1"/>
  <c r="D289" i="9"/>
  <c r="G289" i="9" s="1"/>
  <c r="I289" i="9" s="1"/>
  <c r="D288" i="9"/>
  <c r="G288" i="9" s="1"/>
  <c r="I288" i="9" s="1"/>
  <c r="D287" i="9"/>
  <c r="G287" i="9" s="1"/>
  <c r="I287" i="9" s="1"/>
  <c r="D286" i="9"/>
  <c r="G286" i="9" s="1"/>
  <c r="I286" i="9" s="1"/>
  <c r="D285" i="9"/>
  <c r="G285" i="9" s="1"/>
  <c r="I285" i="9" s="1"/>
  <c r="D284" i="9"/>
  <c r="G284" i="9" s="1"/>
  <c r="I284" i="9" s="1"/>
  <c r="G283" i="9"/>
  <c r="I283" i="9" s="1"/>
  <c r="D283" i="9"/>
  <c r="D282" i="9"/>
  <c r="G282" i="9" s="1"/>
  <c r="I282" i="9" s="1"/>
  <c r="D281" i="9"/>
  <c r="G281" i="9" s="1"/>
  <c r="I281" i="9" s="1"/>
  <c r="D280" i="9"/>
  <c r="G280" i="9" s="1"/>
  <c r="I280" i="9" s="1"/>
  <c r="D279" i="9"/>
  <c r="G279" i="9" s="1"/>
  <c r="I279" i="9" s="1"/>
  <c r="D278" i="9"/>
  <c r="G278" i="9" s="1"/>
  <c r="I278" i="9" s="1"/>
  <c r="D277" i="9"/>
  <c r="G277" i="9" s="1"/>
  <c r="I277" i="9" s="1"/>
  <c r="D276" i="9"/>
  <c r="G276" i="9" s="1"/>
  <c r="I276" i="9" s="1"/>
  <c r="G275" i="9"/>
  <c r="I275" i="9" s="1"/>
  <c r="D275" i="9"/>
  <c r="D274" i="9"/>
  <c r="G274" i="9" s="1"/>
  <c r="I274" i="9" s="1"/>
  <c r="D273" i="9"/>
  <c r="G273" i="9" s="1"/>
  <c r="I273" i="9" s="1"/>
  <c r="G272" i="9"/>
  <c r="I272" i="9" s="1"/>
  <c r="D270" i="9"/>
  <c r="G270" i="9" s="1"/>
  <c r="I270" i="9" s="1"/>
  <c r="G269" i="9"/>
  <c r="I269" i="9" s="1"/>
  <c r="D269" i="9"/>
  <c r="D268" i="9"/>
  <c r="G268" i="9" s="1"/>
  <c r="I268" i="9" s="1"/>
  <c r="D267" i="9"/>
  <c r="G267" i="9" s="1"/>
  <c r="I267" i="9" s="1"/>
  <c r="D266" i="9"/>
  <c r="G266" i="9" s="1"/>
  <c r="I266" i="9" s="1"/>
  <c r="D265" i="9"/>
  <c r="G265" i="9" s="1"/>
  <c r="I265" i="9" s="1"/>
  <c r="D264" i="9"/>
  <c r="G264" i="9" s="1"/>
  <c r="I264" i="9" s="1"/>
  <c r="D263" i="9"/>
  <c r="G263" i="9" s="1"/>
  <c r="I263" i="9" s="1"/>
  <c r="D262" i="9"/>
  <c r="G262" i="9" s="1"/>
  <c r="I262" i="9" s="1"/>
  <c r="G261" i="9"/>
  <c r="I261" i="9" s="1"/>
  <c r="D261" i="9"/>
  <c r="D260" i="9"/>
  <c r="G260" i="9" s="1"/>
  <c r="I260" i="9" s="1"/>
  <c r="D259" i="9"/>
  <c r="G259" i="9" s="1"/>
  <c r="I259" i="9" s="1"/>
  <c r="D258" i="9"/>
  <c r="G258" i="9" s="1"/>
  <c r="I258" i="9" s="1"/>
  <c r="D257" i="9"/>
  <c r="G257" i="9" s="1"/>
  <c r="I257" i="9" s="1"/>
  <c r="D256" i="9"/>
  <c r="G256" i="9" s="1"/>
  <c r="I256" i="9" s="1"/>
  <c r="D255" i="9"/>
  <c r="G255" i="9" s="1"/>
  <c r="I255" i="9" s="1"/>
  <c r="D253" i="9"/>
  <c r="G253" i="9" s="1"/>
  <c r="I253" i="9" s="1"/>
  <c r="G252" i="9"/>
  <c r="I252" i="9" s="1"/>
  <c r="D252" i="9"/>
  <c r="D251" i="9"/>
  <c r="G251" i="9" s="1"/>
  <c r="I251" i="9" s="1"/>
  <c r="D250" i="9"/>
  <c r="G250" i="9" s="1"/>
  <c r="I250" i="9" s="1"/>
  <c r="D249" i="9"/>
  <c r="G249" i="9" s="1"/>
  <c r="I249" i="9" s="1"/>
  <c r="D248" i="9"/>
  <c r="G248" i="9" s="1"/>
  <c r="I248" i="9" s="1"/>
  <c r="I247" i="9"/>
  <c r="D247" i="9"/>
  <c r="D246" i="9"/>
  <c r="G246" i="9" s="1"/>
  <c r="I246" i="9" s="1"/>
  <c r="D245" i="9"/>
  <c r="G245" i="9" s="1"/>
  <c r="I245" i="9" s="1"/>
  <c r="D244" i="9"/>
  <c r="G244" i="9" s="1"/>
  <c r="I244" i="9" s="1"/>
  <c r="D243" i="9"/>
  <c r="G243" i="9" s="1"/>
  <c r="I243" i="9" s="1"/>
  <c r="D242" i="9"/>
  <c r="G242" i="9" s="1"/>
  <c r="I242" i="9" s="1"/>
  <c r="D241" i="9"/>
  <c r="G241" i="9" s="1"/>
  <c r="I241" i="9" s="1"/>
  <c r="P240" i="9"/>
  <c r="G240" i="9"/>
  <c r="I240" i="9" s="1"/>
  <c r="D240" i="9"/>
  <c r="D239" i="9"/>
  <c r="G239" i="9" s="1"/>
  <c r="I239" i="9" s="1"/>
  <c r="D238" i="9"/>
  <c r="G238" i="9" s="1"/>
  <c r="I238" i="9" s="1"/>
  <c r="D237" i="9"/>
  <c r="G237" i="9" s="1"/>
  <c r="I237" i="9" s="1"/>
  <c r="D236" i="9"/>
  <c r="G236" i="9" s="1"/>
  <c r="I236" i="9" s="1"/>
  <c r="G235" i="9"/>
  <c r="D235" i="9"/>
  <c r="D234" i="9"/>
  <c r="G234" i="9" s="1"/>
  <c r="I234" i="9" s="1"/>
  <c r="D233" i="9"/>
  <c r="G233" i="9" s="1"/>
  <c r="I233" i="9" s="1"/>
  <c r="D232" i="9"/>
  <c r="G232" i="9" s="1"/>
  <c r="I232" i="9" s="1"/>
  <c r="D231" i="9"/>
  <c r="G231" i="9" s="1"/>
  <c r="I231" i="9" s="1"/>
  <c r="G230" i="9"/>
  <c r="I230" i="9" s="1"/>
  <c r="D230" i="9"/>
  <c r="D229" i="9"/>
  <c r="G229" i="9" s="1"/>
  <c r="I229" i="9" s="1"/>
  <c r="D228" i="9"/>
  <c r="G228" i="9" s="1"/>
  <c r="I228" i="9" s="1"/>
  <c r="D227" i="9"/>
  <c r="G227" i="9" s="1"/>
  <c r="I227" i="9" s="1"/>
  <c r="D226" i="9"/>
  <c r="G226" i="9" s="1"/>
  <c r="I226" i="9" s="1"/>
  <c r="D225" i="9"/>
  <c r="G225" i="9" s="1"/>
  <c r="I225" i="9" s="1"/>
  <c r="D224" i="9"/>
  <c r="G224" i="9" s="1"/>
  <c r="I224" i="9" s="1"/>
  <c r="D223" i="9"/>
  <c r="G223" i="9" s="1"/>
  <c r="I223" i="9" s="1"/>
  <c r="G222" i="9"/>
  <c r="I222" i="9" s="1"/>
  <c r="D222" i="9"/>
  <c r="D221" i="9"/>
  <c r="G221" i="9" s="1"/>
  <c r="I221" i="9" s="1"/>
  <c r="D220" i="9"/>
  <c r="G220" i="9" s="1"/>
  <c r="I220" i="9" s="1"/>
  <c r="D219" i="9"/>
  <c r="G219" i="9" s="1"/>
  <c r="I219" i="9" s="1"/>
  <c r="D218" i="9"/>
  <c r="G218" i="9" s="1"/>
  <c r="I218" i="9" s="1"/>
  <c r="D217" i="9"/>
  <c r="G217" i="9" s="1"/>
  <c r="I217" i="9" s="1"/>
  <c r="D216" i="9"/>
  <c r="G216" i="9" s="1"/>
  <c r="I216" i="9" s="1"/>
  <c r="D215" i="9"/>
  <c r="G215" i="9" s="1"/>
  <c r="I215" i="9" s="1"/>
  <c r="G214" i="9"/>
  <c r="I214" i="9" s="1"/>
  <c r="D214" i="9"/>
  <c r="D213" i="9"/>
  <c r="G213" i="9" s="1"/>
  <c r="I213" i="9" s="1"/>
  <c r="D212" i="9"/>
  <c r="G212" i="9" s="1"/>
  <c r="I212" i="9" s="1"/>
  <c r="D211" i="9"/>
  <c r="G211" i="9" s="1"/>
  <c r="I211" i="9" s="1"/>
  <c r="D210" i="9"/>
  <c r="G210" i="9" s="1"/>
  <c r="I210" i="9" s="1"/>
  <c r="D209" i="9"/>
  <c r="G209" i="9" s="1"/>
  <c r="I209" i="9" s="1"/>
  <c r="D208" i="9"/>
  <c r="G208" i="9" s="1"/>
  <c r="I208" i="9" s="1"/>
  <c r="D207" i="9"/>
  <c r="G207" i="9" s="1"/>
  <c r="I207" i="9" s="1"/>
  <c r="G206" i="9"/>
  <c r="I206" i="9" s="1"/>
  <c r="D206" i="9"/>
  <c r="D205" i="9"/>
  <c r="G205" i="9" s="1"/>
  <c r="I205" i="9" s="1"/>
  <c r="D204" i="9"/>
  <c r="G204" i="9" s="1"/>
  <c r="I204" i="9" s="1"/>
  <c r="D202" i="9"/>
  <c r="G202" i="9" s="1"/>
  <c r="I202" i="9" s="1"/>
  <c r="D201" i="9"/>
  <c r="G201" i="9" s="1"/>
  <c r="I201" i="9" s="1"/>
  <c r="D200" i="9"/>
  <c r="G200" i="9" s="1"/>
  <c r="I200" i="9" s="1"/>
  <c r="D199" i="9"/>
  <c r="G199" i="9" s="1"/>
  <c r="I199" i="9" s="1"/>
  <c r="D198" i="9"/>
  <c r="G198" i="9" s="1"/>
  <c r="I198" i="9" s="1"/>
  <c r="G197" i="9"/>
  <c r="I197" i="9" s="1"/>
  <c r="D197" i="9"/>
  <c r="D196" i="9"/>
  <c r="G196" i="9" s="1"/>
  <c r="I196" i="9" s="1"/>
  <c r="D195" i="9"/>
  <c r="G195" i="9" s="1"/>
  <c r="I195" i="9" s="1"/>
  <c r="D194" i="9"/>
  <c r="G194" i="9" s="1"/>
  <c r="I194" i="9" s="1"/>
  <c r="D193" i="9"/>
  <c r="G193" i="9" s="1"/>
  <c r="I193" i="9" s="1"/>
  <c r="D192" i="9"/>
  <c r="G192" i="9" s="1"/>
  <c r="I192" i="9" s="1"/>
  <c r="D191" i="9"/>
  <c r="G191" i="9" s="1"/>
  <c r="I191" i="9" s="1"/>
  <c r="D190" i="9"/>
  <c r="G190" i="9" s="1"/>
  <c r="I190" i="9" s="1"/>
  <c r="G189" i="9"/>
  <c r="I189" i="9" s="1"/>
  <c r="D189" i="9"/>
  <c r="D188" i="9"/>
  <c r="G188" i="9" s="1"/>
  <c r="I188" i="9" s="1"/>
  <c r="D187" i="9"/>
  <c r="G187" i="9" s="1"/>
  <c r="I187" i="9" s="1"/>
  <c r="D186" i="9"/>
  <c r="G186" i="9" s="1"/>
  <c r="I186" i="9" s="1"/>
  <c r="D185" i="9"/>
  <c r="G185" i="9" s="1"/>
  <c r="I185" i="9" s="1"/>
  <c r="D184" i="9"/>
  <c r="G184" i="9" s="1"/>
  <c r="I184" i="9" s="1"/>
  <c r="D183" i="9"/>
  <c r="G183" i="9" s="1"/>
  <c r="I183" i="9" s="1"/>
  <c r="D182" i="9"/>
  <c r="G182" i="9" s="1"/>
  <c r="I182" i="9" s="1"/>
  <c r="G181" i="9"/>
  <c r="I181" i="9" s="1"/>
  <c r="D181" i="9"/>
  <c r="D180" i="9"/>
  <c r="G180" i="9" s="1"/>
  <c r="I180" i="9" s="1"/>
  <c r="D179" i="9"/>
  <c r="G179" i="9" s="1"/>
  <c r="I179" i="9" s="1"/>
  <c r="D178" i="9"/>
  <c r="G178" i="9" s="1"/>
  <c r="I178" i="9" s="1"/>
  <c r="D177" i="9"/>
  <c r="G177" i="9" s="1"/>
  <c r="I177" i="9" s="1"/>
  <c r="D176" i="9"/>
  <c r="G176" i="9" s="1"/>
  <c r="I176" i="9" s="1"/>
  <c r="D175" i="9"/>
  <c r="G175" i="9" s="1"/>
  <c r="D174" i="9"/>
  <c r="G174" i="9" s="1"/>
  <c r="D173" i="9"/>
  <c r="G173" i="9" s="1"/>
  <c r="I173" i="9" s="1"/>
  <c r="D172" i="9"/>
  <c r="G172" i="9" s="1"/>
  <c r="I172" i="9" s="1"/>
  <c r="D171" i="9"/>
  <c r="G171" i="9" s="1"/>
  <c r="I171" i="9" s="1"/>
  <c r="D170" i="9"/>
  <c r="G170" i="9" s="1"/>
  <c r="I170" i="9" s="1"/>
  <c r="D169" i="9"/>
  <c r="G169" i="9" s="1"/>
  <c r="I169" i="9" s="1"/>
  <c r="D168" i="9"/>
  <c r="G168" i="9" s="1"/>
  <c r="I168" i="9" s="1"/>
  <c r="G167" i="9"/>
  <c r="I167" i="9" s="1"/>
  <c r="D167" i="9"/>
  <c r="D165" i="9"/>
  <c r="G165" i="9" s="1"/>
  <c r="I165" i="9" s="1"/>
  <c r="D164" i="9"/>
  <c r="G164" i="9" s="1"/>
  <c r="I164" i="9" s="1"/>
  <c r="D163" i="9"/>
  <c r="G163" i="9" s="1"/>
  <c r="I163" i="9" s="1"/>
  <c r="D162" i="9"/>
  <c r="G162" i="9" s="1"/>
  <c r="I162" i="9" s="1"/>
  <c r="D161" i="9"/>
  <c r="G161" i="9" s="1"/>
  <c r="I161" i="9" s="1"/>
  <c r="D160" i="9"/>
  <c r="G160" i="9" s="1"/>
  <c r="I160" i="9" s="1"/>
  <c r="D159" i="9"/>
  <c r="G159" i="9" s="1"/>
  <c r="I159" i="9" s="1"/>
  <c r="G158" i="9"/>
  <c r="I158" i="9" s="1"/>
  <c r="D158" i="9"/>
  <c r="D157" i="9"/>
  <c r="G157" i="9" s="1"/>
  <c r="I157" i="9" s="1"/>
  <c r="D156" i="9"/>
  <c r="G156" i="9" s="1"/>
  <c r="I156" i="9" s="1"/>
  <c r="D155" i="9"/>
  <c r="G155" i="9" s="1"/>
  <c r="I155" i="9" s="1"/>
  <c r="I154" i="9"/>
  <c r="G153" i="9"/>
  <c r="I153" i="9" s="1"/>
  <c r="D152" i="9"/>
  <c r="G152" i="9" s="1"/>
  <c r="I152" i="9" s="1"/>
  <c r="D151" i="9"/>
  <c r="G151" i="9" s="1"/>
  <c r="I151" i="9" s="1"/>
  <c r="D150" i="9"/>
  <c r="G150" i="9" s="1"/>
  <c r="I150" i="9" s="1"/>
  <c r="D149" i="9"/>
  <c r="G149" i="9" s="1"/>
  <c r="I149" i="9" s="1"/>
  <c r="D148" i="9"/>
  <c r="G148" i="9" s="1"/>
  <c r="I148" i="9" s="1"/>
  <c r="G147" i="9"/>
  <c r="I147" i="9" s="1"/>
  <c r="D147" i="9"/>
  <c r="D146" i="9"/>
  <c r="G146" i="9" s="1"/>
  <c r="I146" i="9" s="1"/>
  <c r="D145" i="9"/>
  <c r="G145" i="9" s="1"/>
  <c r="I145" i="9" s="1"/>
  <c r="D144" i="9"/>
  <c r="G144" i="9" s="1"/>
  <c r="I144" i="9" s="1"/>
  <c r="D143" i="9"/>
  <c r="G143" i="9" s="1"/>
  <c r="I143" i="9" s="1"/>
  <c r="I142" i="9"/>
  <c r="D142" i="9"/>
  <c r="G142" i="9" s="1"/>
  <c r="D141" i="9"/>
  <c r="G141" i="9" s="1"/>
  <c r="I141" i="9" s="1"/>
  <c r="I140" i="9"/>
  <c r="D140" i="9"/>
  <c r="G140" i="9" s="1"/>
  <c r="D139" i="9"/>
  <c r="G139" i="9" s="1"/>
  <c r="I139" i="9" s="1"/>
  <c r="I138" i="9"/>
  <c r="D138" i="9"/>
  <c r="G138" i="9" s="1"/>
  <c r="D137" i="9"/>
  <c r="G137" i="9" s="1"/>
  <c r="I137" i="9" s="1"/>
  <c r="I136" i="9"/>
  <c r="D136" i="9"/>
  <c r="G136" i="9" s="1"/>
  <c r="D135" i="9"/>
  <c r="G135" i="9" s="1"/>
  <c r="I135" i="9" s="1"/>
  <c r="I134" i="9"/>
  <c r="D134" i="9"/>
  <c r="G134" i="9" s="1"/>
  <c r="D133" i="9"/>
  <c r="G133" i="9" s="1"/>
  <c r="I133" i="9" s="1"/>
  <c r="I132" i="9"/>
  <c r="D132" i="9"/>
  <c r="G132" i="9" s="1"/>
  <c r="D131" i="9"/>
  <c r="G131" i="9" s="1"/>
  <c r="I131" i="9" s="1"/>
  <c r="I130" i="9"/>
  <c r="D130" i="9"/>
  <c r="G130" i="9" s="1"/>
  <c r="D129" i="9"/>
  <c r="G129" i="9" s="1"/>
  <c r="I129" i="9" s="1"/>
  <c r="I128" i="9"/>
  <c r="D128" i="9"/>
  <c r="G128" i="9" s="1"/>
  <c r="D127" i="9"/>
  <c r="G127" i="9" s="1"/>
  <c r="I127" i="9" s="1"/>
  <c r="I126" i="9"/>
  <c r="D126" i="9"/>
  <c r="G126" i="9" s="1"/>
  <c r="D125" i="9"/>
  <c r="G125" i="9" s="1"/>
  <c r="I125" i="9" s="1"/>
  <c r="I124" i="9"/>
  <c r="D124" i="9"/>
  <c r="G124" i="9" s="1"/>
  <c r="D123" i="9"/>
  <c r="G123" i="9" s="1"/>
  <c r="I123" i="9" s="1"/>
  <c r="I122" i="9"/>
  <c r="D122" i="9"/>
  <c r="G122" i="9" s="1"/>
  <c r="D121" i="9"/>
  <c r="G121" i="9" s="1"/>
  <c r="I121" i="9" s="1"/>
  <c r="I120" i="9"/>
  <c r="D120" i="9"/>
  <c r="G120" i="9" s="1"/>
  <c r="D119" i="9"/>
  <c r="G119" i="9" s="1"/>
  <c r="I119" i="9" s="1"/>
  <c r="I118" i="9"/>
  <c r="D118" i="9"/>
  <c r="G118" i="9" s="1"/>
  <c r="D117" i="9"/>
  <c r="G117" i="9" s="1"/>
  <c r="I117" i="9" s="1"/>
  <c r="I116" i="9"/>
  <c r="D116" i="9"/>
  <c r="G116" i="9" s="1"/>
  <c r="D115" i="9"/>
  <c r="G115" i="9" s="1"/>
  <c r="I115" i="9" s="1"/>
  <c r="I114" i="9"/>
  <c r="D114" i="9"/>
  <c r="G114" i="9" s="1"/>
  <c r="D113" i="9"/>
  <c r="G113" i="9" s="1"/>
  <c r="I113" i="9" s="1"/>
  <c r="I112" i="9"/>
  <c r="D112" i="9"/>
  <c r="G112" i="9" s="1"/>
  <c r="D111" i="9"/>
  <c r="G111" i="9" s="1"/>
  <c r="I111" i="9" s="1"/>
  <c r="I110" i="9"/>
  <c r="D110" i="9"/>
  <c r="G110" i="9" s="1"/>
  <c r="D109" i="9"/>
  <c r="G109" i="9" s="1"/>
  <c r="I109" i="9" s="1"/>
  <c r="I108" i="9"/>
  <c r="D108" i="9"/>
  <c r="G108" i="9" s="1"/>
  <c r="D107" i="9"/>
  <c r="G107" i="9" s="1"/>
  <c r="I107" i="9" s="1"/>
  <c r="I106" i="9"/>
  <c r="D106" i="9"/>
  <c r="G106" i="9" s="1"/>
  <c r="D105" i="9"/>
  <c r="G105" i="9" s="1"/>
  <c r="I105" i="9" s="1"/>
  <c r="I103" i="9"/>
  <c r="D103" i="9"/>
  <c r="G103" i="9" s="1"/>
  <c r="D102" i="9"/>
  <c r="G102" i="9" s="1"/>
  <c r="I102" i="9" s="1"/>
  <c r="I101" i="9"/>
  <c r="D101" i="9"/>
  <c r="G101" i="9" s="1"/>
  <c r="D100" i="9"/>
  <c r="G100" i="9" s="1"/>
  <c r="I100" i="9" s="1"/>
  <c r="I99" i="9"/>
  <c r="D99" i="9"/>
  <c r="G99" i="9" s="1"/>
  <c r="D98" i="9"/>
  <c r="G98" i="9" s="1"/>
  <c r="I98" i="9" s="1"/>
  <c r="I97" i="9"/>
  <c r="D97" i="9"/>
  <c r="G97" i="9" s="1"/>
  <c r="D96" i="9"/>
  <c r="G96" i="9" s="1"/>
  <c r="I96" i="9" s="1"/>
  <c r="I95" i="9"/>
  <c r="D95" i="9"/>
  <c r="G95" i="9" s="1"/>
  <c r="D94" i="9"/>
  <c r="G94" i="9" s="1"/>
  <c r="I94" i="9" s="1"/>
  <c r="I93" i="9"/>
  <c r="D93" i="9"/>
  <c r="G93" i="9" s="1"/>
  <c r="D92" i="9"/>
  <c r="G92" i="9" s="1"/>
  <c r="I92" i="9" s="1"/>
  <c r="I91" i="9"/>
  <c r="D91" i="9"/>
  <c r="G91" i="9" s="1"/>
  <c r="D90" i="9"/>
  <c r="G90" i="9" s="1"/>
  <c r="I90" i="9" s="1"/>
  <c r="I89" i="9"/>
  <c r="D89" i="9"/>
  <c r="G89" i="9" s="1"/>
  <c r="D88" i="9"/>
  <c r="G88" i="9" s="1"/>
  <c r="I88" i="9" s="1"/>
  <c r="I87" i="9"/>
  <c r="D87" i="9"/>
  <c r="G87" i="9" s="1"/>
  <c r="D86" i="9"/>
  <c r="G86" i="9" s="1"/>
  <c r="I86" i="9" s="1"/>
  <c r="I85" i="9"/>
  <c r="D85" i="9"/>
  <c r="G85" i="9" s="1"/>
  <c r="D84" i="9"/>
  <c r="G84" i="9" s="1"/>
  <c r="I84" i="9" s="1"/>
  <c r="I83" i="9"/>
  <c r="D83" i="9"/>
  <c r="G83" i="9" s="1"/>
  <c r="D82" i="9"/>
  <c r="G82" i="9" s="1"/>
  <c r="I82" i="9" s="1"/>
  <c r="I81" i="9"/>
  <c r="D81" i="9"/>
  <c r="G81" i="9" s="1"/>
  <c r="D80" i="9"/>
  <c r="G80" i="9" s="1"/>
  <c r="I80" i="9" s="1"/>
  <c r="I79" i="9"/>
  <c r="D79" i="9"/>
  <c r="G79" i="9" s="1"/>
  <c r="D78" i="9"/>
  <c r="G78" i="9" s="1"/>
  <c r="I78" i="9" s="1"/>
  <c r="I77" i="9"/>
  <c r="D77" i="9"/>
  <c r="G77" i="9" s="1"/>
  <c r="D76" i="9"/>
  <c r="G76" i="9" s="1"/>
  <c r="I76" i="9" s="1"/>
  <c r="I75" i="9"/>
  <c r="D75" i="9"/>
  <c r="G75" i="9" s="1"/>
  <c r="D73" i="9"/>
  <c r="G73" i="9" s="1"/>
  <c r="I73" i="9" s="1"/>
  <c r="I72" i="9"/>
  <c r="D72" i="9"/>
  <c r="G72" i="9" s="1"/>
  <c r="D71" i="9"/>
  <c r="G71" i="9" s="1"/>
  <c r="I71" i="9" s="1"/>
  <c r="I70" i="9"/>
  <c r="D70" i="9"/>
  <c r="G70" i="9" s="1"/>
  <c r="D69" i="9"/>
  <c r="G69" i="9" s="1"/>
  <c r="I69" i="9" s="1"/>
  <c r="I68" i="9"/>
  <c r="D68" i="9"/>
  <c r="G68" i="9" s="1"/>
  <c r="D67" i="9"/>
  <c r="G67" i="9" s="1"/>
  <c r="I67" i="9" s="1"/>
  <c r="I66" i="9"/>
  <c r="D66" i="9"/>
  <c r="G66" i="9" s="1"/>
  <c r="D65" i="9"/>
  <c r="G65" i="9" s="1"/>
  <c r="I65" i="9" s="1"/>
  <c r="I64" i="9"/>
  <c r="D64" i="9"/>
  <c r="G64" i="9" s="1"/>
  <c r="D63" i="9"/>
  <c r="G63" i="9" s="1"/>
  <c r="I63" i="9" s="1"/>
  <c r="I62" i="9"/>
  <c r="D62" i="9"/>
  <c r="G62" i="9" s="1"/>
  <c r="D61" i="9"/>
  <c r="G61" i="9" s="1"/>
  <c r="I61" i="9" s="1"/>
  <c r="I60" i="9"/>
  <c r="D60" i="9"/>
  <c r="G60" i="9" s="1"/>
  <c r="D59" i="9"/>
  <c r="G59" i="9" s="1"/>
  <c r="I59" i="9" s="1"/>
  <c r="I58" i="9"/>
  <c r="D58" i="9"/>
  <c r="G58" i="9" s="1"/>
  <c r="D57" i="9"/>
  <c r="G57" i="9" s="1"/>
  <c r="I57" i="9" s="1"/>
  <c r="I56" i="9"/>
  <c r="D56" i="9"/>
  <c r="G56" i="9" s="1"/>
  <c r="D55" i="9"/>
  <c r="G55" i="9" s="1"/>
  <c r="I55" i="9" s="1"/>
  <c r="I54" i="9"/>
  <c r="D54" i="9"/>
  <c r="G54" i="9" s="1"/>
  <c r="D53" i="9"/>
  <c r="G53" i="9" s="1"/>
  <c r="I53" i="9" s="1"/>
  <c r="I52" i="9"/>
  <c r="D52" i="9"/>
  <c r="G52" i="9" s="1"/>
  <c r="D51" i="9"/>
  <c r="G51" i="9" s="1"/>
  <c r="I51" i="9" s="1"/>
  <c r="I50" i="9"/>
  <c r="D50" i="9"/>
  <c r="G50" i="9" s="1"/>
  <c r="D49" i="9"/>
  <c r="G49" i="9" s="1"/>
  <c r="I49" i="9" s="1"/>
  <c r="I48" i="9"/>
  <c r="D48" i="9"/>
  <c r="G48" i="9" s="1"/>
  <c r="D47" i="9"/>
  <c r="G47" i="9" s="1"/>
  <c r="I47" i="9" s="1"/>
  <c r="I46" i="9"/>
  <c r="D46" i="9"/>
  <c r="G46" i="9" s="1"/>
  <c r="D45" i="9"/>
  <c r="G45" i="9" s="1"/>
  <c r="I45" i="9" s="1"/>
  <c r="I44" i="9"/>
  <c r="D44" i="9"/>
  <c r="G44" i="9" s="1"/>
  <c r="D43" i="9"/>
  <c r="G43" i="9" s="1"/>
  <c r="I43" i="9" s="1"/>
  <c r="I42" i="9"/>
  <c r="D42" i="9"/>
  <c r="G42" i="9" s="1"/>
  <c r="D41" i="9"/>
  <c r="G41" i="9" s="1"/>
  <c r="I41" i="9" s="1"/>
  <c r="I40" i="9"/>
  <c r="D40" i="9"/>
  <c r="G40" i="9" s="1"/>
  <c r="D39" i="9"/>
  <c r="G39" i="9" s="1"/>
  <c r="I39" i="9" s="1"/>
  <c r="D38" i="9"/>
  <c r="G38" i="9" s="1"/>
  <c r="I38" i="9" s="1"/>
  <c r="D37" i="9"/>
  <c r="G37" i="9" s="1"/>
  <c r="I37" i="9" s="1"/>
  <c r="D36" i="9"/>
  <c r="G36" i="9" s="1"/>
  <c r="I36" i="9" s="1"/>
  <c r="G35" i="9"/>
  <c r="I35" i="9" s="1"/>
  <c r="D35" i="9"/>
  <c r="D34" i="9"/>
  <c r="G34" i="9" s="1"/>
  <c r="I34" i="9" s="1"/>
  <c r="D33" i="9"/>
  <c r="G33" i="9" s="1"/>
  <c r="I33" i="9" s="1"/>
  <c r="D32" i="9"/>
  <c r="G32" i="9" s="1"/>
  <c r="I32" i="9" s="1"/>
  <c r="D31" i="9"/>
  <c r="G31" i="9" s="1"/>
  <c r="I31" i="9" s="1"/>
  <c r="D30" i="9"/>
  <c r="G30" i="9" s="1"/>
  <c r="I30" i="9" s="1"/>
  <c r="G29" i="9"/>
  <c r="I29" i="9" s="1"/>
  <c r="D29" i="9"/>
  <c r="D28" i="9"/>
  <c r="G28" i="9" s="1"/>
  <c r="I28" i="9" s="1"/>
  <c r="G27" i="9"/>
  <c r="I27" i="9" s="1"/>
  <c r="D27" i="9"/>
  <c r="D26" i="9"/>
  <c r="G26" i="9" s="1"/>
  <c r="I26" i="9" s="1"/>
  <c r="D25" i="9"/>
  <c r="G25" i="9" s="1"/>
  <c r="I25" i="9" s="1"/>
  <c r="D24" i="9"/>
  <c r="G24" i="9" s="1"/>
  <c r="I24" i="9" s="1"/>
  <c r="D23" i="9"/>
  <c r="G23" i="9" s="1"/>
  <c r="I23" i="9" s="1"/>
  <c r="D22" i="9"/>
  <c r="G22" i="9" s="1"/>
  <c r="I22" i="9" s="1"/>
  <c r="D21" i="9"/>
  <c r="G21" i="9" s="1"/>
  <c r="I21" i="9" s="1"/>
  <c r="D20" i="9"/>
  <c r="G20" i="9" s="1"/>
  <c r="I20" i="9" s="1"/>
  <c r="G19" i="9"/>
  <c r="I19" i="9" s="1"/>
  <c r="D19" i="9"/>
  <c r="D18" i="9"/>
  <c r="G18" i="9" s="1"/>
  <c r="I18" i="9" s="1"/>
  <c r="D17" i="9"/>
  <c r="G17" i="9" s="1"/>
  <c r="I17" i="9" s="1"/>
  <c r="D16" i="9"/>
  <c r="G16" i="9" s="1"/>
  <c r="I16" i="9" s="1"/>
  <c r="D15" i="9"/>
  <c r="G15" i="9" s="1"/>
  <c r="I15" i="9" s="1"/>
  <c r="D14" i="9"/>
  <c r="G14" i="9" s="1"/>
  <c r="I14" i="9" s="1"/>
  <c r="G13" i="9"/>
  <c r="I13" i="9" s="1"/>
  <c r="D13" i="9"/>
  <c r="D12" i="9"/>
  <c r="G12" i="9" s="1"/>
  <c r="I12" i="9" s="1"/>
  <c r="G11" i="9"/>
  <c r="I11" i="9" s="1"/>
  <c r="D11" i="9"/>
  <c r="D10" i="9"/>
  <c r="G10" i="9" s="1"/>
  <c r="I10" i="9" s="1"/>
  <c r="D9" i="9"/>
  <c r="G9" i="9" s="1"/>
  <c r="I9" i="9" s="1"/>
  <c r="D8" i="9"/>
  <c r="G8" i="9" s="1"/>
  <c r="I8" i="9" s="1"/>
  <c r="D7" i="9"/>
  <c r="G7" i="9" s="1"/>
  <c r="I7" i="9" s="1"/>
  <c r="D6" i="9"/>
  <c r="G6" i="9" s="1"/>
  <c r="I6" i="9" s="1"/>
  <c r="D5" i="9"/>
  <c r="G5" i="9" s="1"/>
  <c r="I5" i="9" s="1"/>
  <c r="I364" i="9" l="1"/>
  <c r="B6" i="5"/>
  <c r="C25" i="5" l="1"/>
  <c r="G333" i="6" l="1"/>
  <c r="I333" i="6" s="1"/>
  <c r="D333" i="6"/>
  <c r="D332" i="6"/>
  <c r="G332" i="6" s="1"/>
  <c r="I332" i="6" s="1"/>
  <c r="D331" i="6"/>
  <c r="G331" i="6" s="1"/>
  <c r="I331" i="6" s="1"/>
  <c r="D330" i="6"/>
  <c r="G330" i="6" s="1"/>
  <c r="I330" i="6" s="1"/>
  <c r="D329" i="6"/>
  <c r="G329" i="6" s="1"/>
  <c r="I329" i="6" s="1"/>
  <c r="D328" i="6"/>
  <c r="G328" i="6" s="1"/>
  <c r="I328" i="6" s="1"/>
  <c r="D327" i="6"/>
  <c r="G327" i="6" s="1"/>
  <c r="I327" i="6" s="1"/>
  <c r="D326" i="6"/>
  <c r="G326" i="6" s="1"/>
  <c r="I326" i="6" s="1"/>
  <c r="D325" i="6"/>
  <c r="G325" i="6" s="1"/>
  <c r="I325" i="6" s="1"/>
  <c r="D324" i="6"/>
  <c r="G324" i="6" s="1"/>
  <c r="I324" i="6" s="1"/>
  <c r="G323" i="6"/>
  <c r="I323" i="6" s="1"/>
  <c r="D323" i="6"/>
  <c r="D322" i="6"/>
  <c r="G322" i="6" s="1"/>
  <c r="I322" i="6" s="1"/>
  <c r="D321" i="6"/>
  <c r="G321" i="6" s="1"/>
  <c r="I321" i="6" s="1"/>
  <c r="D320" i="6"/>
  <c r="G320" i="6" s="1"/>
  <c r="I320" i="6" s="1"/>
  <c r="D319" i="6"/>
  <c r="G319" i="6" s="1"/>
  <c r="I319" i="6" s="1"/>
  <c r="D318" i="6"/>
  <c r="G318" i="6" s="1"/>
  <c r="I318" i="6" s="1"/>
  <c r="G317" i="6"/>
  <c r="I317" i="6" s="1"/>
  <c r="D317" i="6"/>
  <c r="D316" i="6"/>
  <c r="G316" i="6" s="1"/>
  <c r="I316" i="6" s="1"/>
  <c r="D315" i="6"/>
  <c r="G315" i="6" s="1"/>
  <c r="I315" i="6" s="1"/>
  <c r="D314" i="6"/>
  <c r="G314" i="6" s="1"/>
  <c r="I314" i="6" s="1"/>
  <c r="D313" i="6"/>
  <c r="G313" i="6" s="1"/>
  <c r="I313" i="6" s="1"/>
  <c r="D312" i="6"/>
  <c r="G312" i="6" s="1"/>
  <c r="I312" i="6" s="1"/>
  <c r="D311" i="6"/>
  <c r="G311" i="6" s="1"/>
  <c r="I311" i="6" s="1"/>
  <c r="D310" i="6"/>
  <c r="G310" i="6" s="1"/>
  <c r="I310" i="6" s="1"/>
  <c r="D309" i="6"/>
  <c r="G309" i="6" s="1"/>
  <c r="I309" i="6" s="1"/>
  <c r="D308" i="6"/>
  <c r="G308" i="6" s="1"/>
  <c r="I308" i="6" s="1"/>
  <c r="G307" i="6"/>
  <c r="I307" i="6" s="1"/>
  <c r="D307" i="6"/>
  <c r="D306" i="6"/>
  <c r="G306" i="6" s="1"/>
  <c r="I306" i="6" s="1"/>
  <c r="D305" i="6"/>
  <c r="G305" i="6" s="1"/>
  <c r="I305" i="6" s="1"/>
  <c r="D304" i="6"/>
  <c r="G304" i="6" s="1"/>
  <c r="I304" i="6" s="1"/>
  <c r="D303" i="6"/>
  <c r="G303" i="6" s="1"/>
  <c r="I303" i="6" s="1"/>
  <c r="D302" i="6"/>
  <c r="G302" i="6" s="1"/>
  <c r="I302" i="6" s="1"/>
  <c r="G301" i="6"/>
  <c r="I301" i="6" s="1"/>
  <c r="D301" i="6"/>
  <c r="D300" i="6"/>
  <c r="G300" i="6" s="1"/>
  <c r="I300" i="6" s="1"/>
  <c r="D299" i="6"/>
  <c r="G299" i="6" s="1"/>
  <c r="I299" i="6" s="1"/>
  <c r="D298" i="6"/>
  <c r="G298" i="6" s="1"/>
  <c r="I298" i="6" s="1"/>
  <c r="D297" i="6"/>
  <c r="G297" i="6" s="1"/>
  <c r="I297" i="6" s="1"/>
  <c r="D296" i="6"/>
  <c r="G296" i="6" s="1"/>
  <c r="I296" i="6" s="1"/>
  <c r="D295" i="6"/>
  <c r="G295" i="6" s="1"/>
  <c r="I295" i="6" s="1"/>
  <c r="D294" i="6"/>
  <c r="G294" i="6" s="1"/>
  <c r="I294" i="6" s="1"/>
  <c r="D293" i="6"/>
  <c r="G293" i="6" s="1"/>
  <c r="I293" i="6" s="1"/>
  <c r="D292" i="6"/>
  <c r="G292" i="6" s="1"/>
  <c r="I292" i="6" s="1"/>
  <c r="G291" i="6"/>
  <c r="I291" i="6" s="1"/>
  <c r="D291" i="6"/>
  <c r="D290" i="6"/>
  <c r="G290" i="6" s="1"/>
  <c r="I290" i="6" s="1"/>
  <c r="D289" i="6"/>
  <c r="G289" i="6" s="1"/>
  <c r="I289" i="6" s="1"/>
  <c r="D288" i="6"/>
  <c r="G288" i="6" s="1"/>
  <c r="I288" i="6" s="1"/>
  <c r="D287" i="6"/>
  <c r="G287" i="6" s="1"/>
  <c r="I287" i="6" s="1"/>
  <c r="D286" i="6"/>
  <c r="G286" i="6" s="1"/>
  <c r="I286" i="6" s="1"/>
  <c r="G285" i="6"/>
  <c r="I285" i="6" s="1"/>
  <c r="D285" i="6"/>
  <c r="D284" i="6"/>
  <c r="G284" i="6" s="1"/>
  <c r="I284" i="6" s="1"/>
  <c r="D283" i="6"/>
  <c r="G283" i="6" s="1"/>
  <c r="I283" i="6" s="1"/>
  <c r="D282" i="6"/>
  <c r="G282" i="6" s="1"/>
  <c r="I282" i="6" s="1"/>
  <c r="D281" i="6"/>
  <c r="G281" i="6" s="1"/>
  <c r="I281" i="6" s="1"/>
  <c r="D280" i="6"/>
  <c r="G280" i="6" s="1"/>
  <c r="I280" i="6" s="1"/>
  <c r="D279" i="6"/>
  <c r="G279" i="6" s="1"/>
  <c r="I279" i="6" s="1"/>
  <c r="D278" i="6"/>
  <c r="G278" i="6" s="1"/>
  <c r="I278" i="6" s="1"/>
  <c r="D277" i="6"/>
  <c r="G277" i="6" s="1"/>
  <c r="I277" i="6" s="1"/>
  <c r="D276" i="6"/>
  <c r="G276" i="6" s="1"/>
  <c r="I276" i="6" s="1"/>
  <c r="G275" i="6"/>
  <c r="I275" i="6" s="1"/>
  <c r="D275" i="6"/>
  <c r="D274" i="6"/>
  <c r="G274" i="6" s="1"/>
  <c r="I274" i="6" s="1"/>
  <c r="D273" i="6"/>
  <c r="G273" i="6" s="1"/>
  <c r="I273" i="6" s="1"/>
  <c r="D272" i="6"/>
  <c r="G272" i="6" s="1"/>
  <c r="I272" i="6" s="1"/>
  <c r="D271" i="6"/>
  <c r="G271" i="6" s="1"/>
  <c r="I271" i="6" s="1"/>
  <c r="D270" i="6"/>
  <c r="G270" i="6" s="1"/>
  <c r="I270" i="6" s="1"/>
  <c r="G269" i="6"/>
  <c r="I269" i="6" s="1"/>
  <c r="D269" i="6"/>
  <c r="D268" i="6"/>
  <c r="G268" i="6" s="1"/>
  <c r="D267" i="6"/>
  <c r="G267" i="6" s="1"/>
  <c r="I267" i="6" s="1"/>
  <c r="D266" i="6"/>
  <c r="G266" i="6" s="1"/>
  <c r="I266" i="6" s="1"/>
  <c r="D265" i="6"/>
  <c r="G265" i="6" s="1"/>
  <c r="I265" i="6" s="1"/>
  <c r="G264" i="6"/>
  <c r="I264" i="6" s="1"/>
  <c r="D264" i="6"/>
  <c r="D263" i="6"/>
  <c r="G263" i="6" s="1"/>
  <c r="I263" i="6" s="1"/>
  <c r="D262" i="6"/>
  <c r="G262" i="6" s="1"/>
  <c r="I262" i="6" s="1"/>
  <c r="D261" i="6"/>
  <c r="G261" i="6" s="1"/>
  <c r="I261" i="6" s="1"/>
  <c r="D260" i="6"/>
  <c r="G260" i="6" s="1"/>
  <c r="I260" i="6" s="1"/>
  <c r="D259" i="6"/>
  <c r="G259" i="6" s="1"/>
  <c r="I259" i="6" s="1"/>
  <c r="D258" i="6"/>
  <c r="G258" i="6" s="1"/>
  <c r="I258" i="6" s="1"/>
  <c r="D257" i="6"/>
  <c r="G257" i="6" s="1"/>
  <c r="I257" i="6" s="1"/>
  <c r="D256" i="6"/>
  <c r="G256" i="6" s="1"/>
  <c r="I256" i="6" s="1"/>
  <c r="D255" i="6"/>
  <c r="G255" i="6" s="1"/>
  <c r="I255" i="6" s="1"/>
  <c r="G254" i="6"/>
  <c r="I254" i="6" s="1"/>
  <c r="D254" i="6"/>
  <c r="D253" i="6"/>
  <c r="G253" i="6" s="1"/>
  <c r="I253" i="6" s="1"/>
  <c r="D252" i="6"/>
  <c r="G252" i="6" s="1"/>
  <c r="I252" i="6" s="1"/>
  <c r="D251" i="6"/>
  <c r="G251" i="6" s="1"/>
  <c r="I251" i="6" s="1"/>
  <c r="D250" i="6"/>
  <c r="G250" i="6" s="1"/>
  <c r="I250" i="6" s="1"/>
  <c r="D249" i="6"/>
  <c r="G249" i="6" s="1"/>
  <c r="I249" i="6" s="1"/>
  <c r="G248" i="6"/>
  <c r="I248" i="6" s="1"/>
  <c r="D248" i="6"/>
  <c r="D247" i="6"/>
  <c r="G247" i="6" s="1"/>
  <c r="I247" i="6" s="1"/>
  <c r="D246" i="6"/>
  <c r="G246" i="6" s="1"/>
  <c r="I246" i="6" s="1"/>
  <c r="D245" i="6"/>
  <c r="G245" i="6" s="1"/>
  <c r="I245" i="6" s="1"/>
  <c r="D244" i="6"/>
  <c r="G244" i="6" s="1"/>
  <c r="I244" i="6" s="1"/>
  <c r="D243" i="6"/>
  <c r="G243" i="6" s="1"/>
  <c r="I243" i="6" s="1"/>
  <c r="D242" i="6"/>
  <c r="G242" i="6" s="1"/>
  <c r="I242" i="6" s="1"/>
  <c r="D241" i="6"/>
  <c r="G241" i="6" s="1"/>
  <c r="I241" i="6" s="1"/>
  <c r="D240" i="6"/>
  <c r="G240" i="6" s="1"/>
  <c r="I240" i="6" s="1"/>
  <c r="D238" i="6"/>
  <c r="G238" i="6" s="1"/>
  <c r="I238" i="6" s="1"/>
  <c r="G237" i="6"/>
  <c r="I237" i="6" s="1"/>
  <c r="D237" i="6"/>
  <c r="D236" i="6"/>
  <c r="G236" i="6" s="1"/>
  <c r="I236" i="6" s="1"/>
  <c r="D235" i="6"/>
  <c r="G235" i="6" s="1"/>
  <c r="I235" i="6" s="1"/>
  <c r="D234" i="6"/>
  <c r="G234" i="6" s="1"/>
  <c r="I234" i="6" s="1"/>
  <c r="D233" i="6"/>
  <c r="G233" i="6" s="1"/>
  <c r="I233" i="6" s="1"/>
  <c r="I232" i="6"/>
  <c r="D232" i="6"/>
  <c r="D231" i="6"/>
  <c r="G231" i="6" s="1"/>
  <c r="I231" i="6" s="1"/>
  <c r="D230" i="6"/>
  <c r="G230" i="6" s="1"/>
  <c r="I230" i="6" s="1"/>
  <c r="D229" i="6"/>
  <c r="G229" i="6" s="1"/>
  <c r="I229" i="6" s="1"/>
  <c r="D228" i="6"/>
  <c r="G228" i="6" s="1"/>
  <c r="I228" i="6" s="1"/>
  <c r="D227" i="6"/>
  <c r="G227" i="6" s="1"/>
  <c r="I227" i="6" s="1"/>
  <c r="G226" i="6"/>
  <c r="I226" i="6" s="1"/>
  <c r="D226" i="6"/>
  <c r="D225" i="6"/>
  <c r="G225" i="6" s="1"/>
  <c r="I225" i="6" s="1"/>
  <c r="D224" i="6"/>
  <c r="G224" i="6" s="1"/>
  <c r="I224" i="6" s="1"/>
  <c r="D223" i="6"/>
  <c r="G223" i="6" s="1"/>
  <c r="I223" i="6" s="1"/>
  <c r="D222" i="6"/>
  <c r="G222" i="6" s="1"/>
  <c r="I222" i="6" s="1"/>
  <c r="D221" i="6"/>
  <c r="G221" i="6" s="1"/>
  <c r="I221" i="6" s="1"/>
  <c r="D220" i="6"/>
  <c r="G220" i="6" s="1"/>
  <c r="G219" i="6"/>
  <c r="I219" i="6" s="1"/>
  <c r="D219" i="6"/>
  <c r="D218" i="6"/>
  <c r="G218" i="6" s="1"/>
  <c r="I218" i="6" s="1"/>
  <c r="D217" i="6"/>
  <c r="G217" i="6" s="1"/>
  <c r="I217" i="6" s="1"/>
  <c r="D216" i="6"/>
  <c r="G216" i="6" s="1"/>
  <c r="I216" i="6" s="1"/>
  <c r="G215" i="6"/>
  <c r="I215" i="6" s="1"/>
  <c r="D215" i="6"/>
  <c r="D214" i="6"/>
  <c r="G214" i="6" s="1"/>
  <c r="I214" i="6" s="1"/>
  <c r="D213" i="6"/>
  <c r="G213" i="6" s="1"/>
  <c r="I213" i="6" s="1"/>
  <c r="D212" i="6"/>
  <c r="G212" i="6" s="1"/>
  <c r="I212" i="6" s="1"/>
  <c r="D211" i="6"/>
  <c r="G211" i="6" s="1"/>
  <c r="I211" i="6" s="1"/>
  <c r="D210" i="6"/>
  <c r="G210" i="6" s="1"/>
  <c r="I210" i="6" s="1"/>
  <c r="D209" i="6"/>
  <c r="G209" i="6" s="1"/>
  <c r="I209" i="6" s="1"/>
  <c r="D208" i="6"/>
  <c r="G208" i="6" s="1"/>
  <c r="I208" i="6" s="1"/>
  <c r="D207" i="6"/>
  <c r="G207" i="6" s="1"/>
  <c r="I207" i="6" s="1"/>
  <c r="D206" i="6"/>
  <c r="G206" i="6" s="1"/>
  <c r="I206" i="6" s="1"/>
  <c r="D205" i="6"/>
  <c r="G205" i="6" s="1"/>
  <c r="I205" i="6" s="1"/>
  <c r="D204" i="6"/>
  <c r="G204" i="6" s="1"/>
  <c r="I204" i="6" s="1"/>
  <c r="G203" i="6"/>
  <c r="I203" i="6" s="1"/>
  <c r="D203" i="6"/>
  <c r="D202" i="6"/>
  <c r="G202" i="6" s="1"/>
  <c r="I202" i="6" s="1"/>
  <c r="D201" i="6"/>
  <c r="G201" i="6" s="1"/>
  <c r="I201" i="6" s="1"/>
  <c r="D200" i="6"/>
  <c r="G200" i="6" s="1"/>
  <c r="I200" i="6" s="1"/>
  <c r="D199" i="6"/>
  <c r="G199" i="6" s="1"/>
  <c r="I199" i="6" s="1"/>
  <c r="D198" i="6"/>
  <c r="G198" i="6" s="1"/>
  <c r="I198" i="6" s="1"/>
  <c r="G197" i="6"/>
  <c r="I197" i="6" s="1"/>
  <c r="D197" i="6"/>
  <c r="D196" i="6"/>
  <c r="G196" i="6" s="1"/>
  <c r="I196" i="6" s="1"/>
  <c r="D195" i="6"/>
  <c r="G195" i="6" s="1"/>
  <c r="I195" i="6" s="1"/>
  <c r="D194" i="6"/>
  <c r="G194" i="6" s="1"/>
  <c r="I194" i="6" s="1"/>
  <c r="D193" i="6"/>
  <c r="G193" i="6" s="1"/>
  <c r="I193" i="6" s="1"/>
  <c r="D192" i="6"/>
  <c r="G192" i="6" s="1"/>
  <c r="I192" i="6" s="1"/>
  <c r="D191" i="6"/>
  <c r="G191" i="6" s="1"/>
  <c r="I191" i="6" s="1"/>
  <c r="D190" i="6"/>
  <c r="G190" i="6" s="1"/>
  <c r="I190" i="6" s="1"/>
  <c r="D189" i="6"/>
  <c r="G189" i="6" s="1"/>
  <c r="I189" i="6" s="1"/>
  <c r="D188" i="6"/>
  <c r="G188" i="6" s="1"/>
  <c r="I188" i="6" s="1"/>
  <c r="D187" i="6"/>
  <c r="G187" i="6" s="1"/>
  <c r="I187" i="6" s="1"/>
  <c r="D186" i="6"/>
  <c r="G186" i="6" s="1"/>
  <c r="I186" i="6" s="1"/>
  <c r="G185" i="6"/>
  <c r="I185" i="6" s="1"/>
  <c r="D185" i="6"/>
  <c r="D184" i="6"/>
  <c r="G184" i="6" s="1"/>
  <c r="I184" i="6" s="1"/>
  <c r="D183" i="6"/>
  <c r="G183" i="6" s="1"/>
  <c r="I183" i="6" s="1"/>
  <c r="D182" i="6"/>
  <c r="G182" i="6" s="1"/>
  <c r="I182" i="6" s="1"/>
  <c r="D181" i="6"/>
  <c r="G181" i="6" s="1"/>
  <c r="I181" i="6" s="1"/>
  <c r="D180" i="6"/>
  <c r="G180" i="6" s="1"/>
  <c r="I180" i="6" s="1"/>
  <c r="D179" i="6"/>
  <c r="G179" i="6" s="1"/>
  <c r="I179" i="6" s="1"/>
  <c r="D178" i="6"/>
  <c r="G178" i="6" s="1"/>
  <c r="I178" i="6" s="1"/>
  <c r="D177" i="6"/>
  <c r="G177" i="6" s="1"/>
  <c r="I177" i="6" s="1"/>
  <c r="D176" i="6"/>
  <c r="G176" i="6" s="1"/>
  <c r="I176" i="6" s="1"/>
  <c r="G175" i="6"/>
  <c r="I175" i="6" s="1"/>
  <c r="D175" i="6"/>
  <c r="D174" i="6"/>
  <c r="G174" i="6" s="1"/>
  <c r="I174" i="6" s="1"/>
  <c r="D173" i="6"/>
  <c r="G173" i="6" s="1"/>
  <c r="I173" i="6" s="1"/>
  <c r="D172" i="6"/>
  <c r="G172" i="6" s="1"/>
  <c r="I172" i="6" s="1"/>
  <c r="D171" i="6"/>
  <c r="G171" i="6" s="1"/>
  <c r="I171" i="6" s="1"/>
  <c r="D170" i="6"/>
  <c r="G170" i="6" s="1"/>
  <c r="I170" i="6" s="1"/>
  <c r="G169" i="6"/>
  <c r="I169" i="6" s="1"/>
  <c r="D169" i="6"/>
  <c r="D168" i="6"/>
  <c r="G168" i="6" s="1"/>
  <c r="I168" i="6" s="1"/>
  <c r="D167" i="6"/>
  <c r="G167" i="6" s="1"/>
  <c r="I167" i="6" s="1"/>
  <c r="D166" i="6"/>
  <c r="G166" i="6" s="1"/>
  <c r="I166" i="6" s="1"/>
  <c r="D165" i="6"/>
  <c r="G165" i="6" s="1"/>
  <c r="I165" i="6" s="1"/>
  <c r="D164" i="6"/>
  <c r="G164" i="6" s="1"/>
  <c r="I164" i="6" s="1"/>
  <c r="D163" i="6"/>
  <c r="G163" i="6" s="1"/>
  <c r="D162" i="6"/>
  <c r="G162" i="6" s="1"/>
  <c r="D161" i="6"/>
  <c r="G161" i="6" s="1"/>
  <c r="I161" i="6" s="1"/>
  <c r="D160" i="6"/>
  <c r="G160" i="6" s="1"/>
  <c r="I160" i="6" s="1"/>
  <c r="D159" i="6"/>
  <c r="G159" i="6" s="1"/>
  <c r="I159" i="6" s="1"/>
  <c r="D158" i="6"/>
  <c r="G158" i="6" s="1"/>
  <c r="I158" i="6" s="1"/>
  <c r="D157" i="6"/>
  <c r="G157" i="6" s="1"/>
  <c r="I157" i="6" s="1"/>
  <c r="D156" i="6"/>
  <c r="G156" i="6" s="1"/>
  <c r="I156" i="6" s="1"/>
  <c r="D155" i="6"/>
  <c r="G155" i="6" s="1"/>
  <c r="I155" i="6" s="1"/>
  <c r="D154" i="6"/>
  <c r="G154" i="6" s="1"/>
  <c r="I154" i="6" s="1"/>
  <c r="I153" i="6"/>
  <c r="D153" i="6"/>
  <c r="D152" i="6"/>
  <c r="G152" i="6" s="1"/>
  <c r="I152" i="6" s="1"/>
  <c r="D151" i="6"/>
  <c r="G151" i="6" s="1"/>
  <c r="I151" i="6" s="1"/>
  <c r="D150" i="6"/>
  <c r="G150" i="6" s="1"/>
  <c r="I150" i="6" s="1"/>
  <c r="D149" i="6"/>
  <c r="G149" i="6" s="1"/>
  <c r="I149" i="6" s="1"/>
  <c r="D148" i="6"/>
  <c r="G148" i="6" s="1"/>
  <c r="I148" i="6" s="1"/>
  <c r="D147" i="6"/>
  <c r="G147" i="6" s="1"/>
  <c r="I147" i="6" s="1"/>
  <c r="D146" i="6"/>
  <c r="G146" i="6" s="1"/>
  <c r="I146" i="6" s="1"/>
  <c r="D145" i="6"/>
  <c r="G145" i="6" s="1"/>
  <c r="I145" i="6" s="1"/>
  <c r="D144" i="6"/>
  <c r="G144" i="6" s="1"/>
  <c r="I144" i="6" s="1"/>
  <c r="D142" i="6"/>
  <c r="G142" i="6" s="1"/>
  <c r="I142" i="6" s="1"/>
  <c r="G141" i="6"/>
  <c r="I141" i="6" s="1"/>
  <c r="D141" i="6"/>
  <c r="D140" i="6"/>
  <c r="G140" i="6" s="1"/>
  <c r="I140" i="6" s="1"/>
  <c r="D139" i="6"/>
  <c r="G139" i="6" s="1"/>
  <c r="I139" i="6" s="1"/>
  <c r="D138" i="6"/>
  <c r="G138" i="6" s="1"/>
  <c r="I138" i="6" s="1"/>
  <c r="D137" i="6"/>
  <c r="G137" i="6" s="1"/>
  <c r="I137" i="6" s="1"/>
  <c r="D136" i="6"/>
  <c r="G136" i="6" s="1"/>
  <c r="I136" i="6" s="1"/>
  <c r="G135" i="6"/>
  <c r="I135" i="6" s="1"/>
  <c r="D135" i="6"/>
  <c r="D134" i="6"/>
  <c r="G134" i="6" s="1"/>
  <c r="I134" i="6" s="1"/>
  <c r="G133" i="6"/>
  <c r="I133" i="6" s="1"/>
  <c r="D133" i="6"/>
  <c r="D132" i="6"/>
  <c r="G132" i="6" s="1"/>
  <c r="I132" i="6" s="1"/>
  <c r="D131" i="6"/>
  <c r="G131" i="6" s="1"/>
  <c r="I131" i="6" s="1"/>
  <c r="D130" i="6"/>
  <c r="G130" i="6" s="1"/>
  <c r="I130" i="6" s="1"/>
  <c r="D129" i="6"/>
  <c r="G129" i="6" s="1"/>
  <c r="I129" i="6" s="1"/>
  <c r="D128" i="6"/>
  <c r="G128" i="6" s="1"/>
  <c r="I128" i="6" s="1"/>
  <c r="D127" i="6"/>
  <c r="G127" i="6" s="1"/>
  <c r="I127" i="6" s="1"/>
  <c r="D126" i="6"/>
  <c r="G126" i="6" s="1"/>
  <c r="I126" i="6" s="1"/>
  <c r="G125" i="6"/>
  <c r="I125" i="6" s="1"/>
  <c r="D125" i="6"/>
  <c r="D124" i="6"/>
  <c r="G124" i="6" s="1"/>
  <c r="I124" i="6" s="1"/>
  <c r="D123" i="6"/>
  <c r="G123" i="6" s="1"/>
  <c r="I123" i="6" s="1"/>
  <c r="D122" i="6"/>
  <c r="G122" i="6" s="1"/>
  <c r="I122" i="6" s="1"/>
  <c r="D121" i="6"/>
  <c r="G121" i="6" s="1"/>
  <c r="I121" i="6" s="1"/>
  <c r="D120" i="6"/>
  <c r="G120" i="6" s="1"/>
  <c r="I120" i="6" s="1"/>
  <c r="G119" i="6"/>
  <c r="I119" i="6" s="1"/>
  <c r="D119" i="6"/>
  <c r="D118" i="6"/>
  <c r="G118" i="6" s="1"/>
  <c r="I118" i="6" s="1"/>
  <c r="G117" i="6"/>
  <c r="I117" i="6" s="1"/>
  <c r="D117" i="6"/>
  <c r="D116" i="6"/>
  <c r="G116" i="6" s="1"/>
  <c r="I116" i="6" s="1"/>
  <c r="D115" i="6"/>
  <c r="G115" i="6" s="1"/>
  <c r="I115" i="6" s="1"/>
  <c r="D114" i="6"/>
  <c r="G114" i="6" s="1"/>
  <c r="I114" i="6" s="1"/>
  <c r="D113" i="6"/>
  <c r="G113" i="6" s="1"/>
  <c r="I113" i="6" s="1"/>
  <c r="D112" i="6"/>
  <c r="G112" i="6" s="1"/>
  <c r="I112" i="6" s="1"/>
  <c r="D111" i="6"/>
  <c r="G111" i="6" s="1"/>
  <c r="I111" i="6" s="1"/>
  <c r="D110" i="6"/>
  <c r="G110" i="6" s="1"/>
  <c r="I110" i="6" s="1"/>
  <c r="D109" i="6"/>
  <c r="G109" i="6" s="1"/>
  <c r="I109" i="6" s="1"/>
  <c r="D108" i="6"/>
  <c r="G108" i="6" s="1"/>
  <c r="I108" i="6" s="1"/>
  <c r="D107" i="6"/>
  <c r="G107" i="6" s="1"/>
  <c r="I107" i="6" s="1"/>
  <c r="D106" i="6"/>
  <c r="G106" i="6" s="1"/>
  <c r="I106" i="6" s="1"/>
  <c r="D105" i="6"/>
  <c r="G105" i="6" s="1"/>
  <c r="I105" i="6" s="1"/>
  <c r="D104" i="6"/>
  <c r="G104" i="6" s="1"/>
  <c r="I104" i="6" s="1"/>
  <c r="G103" i="6"/>
  <c r="I103" i="6" s="1"/>
  <c r="D103" i="6"/>
  <c r="D102" i="6"/>
  <c r="G102" i="6" s="1"/>
  <c r="I102" i="6" s="1"/>
  <c r="D101" i="6"/>
  <c r="G101" i="6" s="1"/>
  <c r="I101" i="6" s="1"/>
  <c r="D100" i="6"/>
  <c r="G100" i="6" s="1"/>
  <c r="I100" i="6" s="1"/>
  <c r="D99" i="6"/>
  <c r="G99" i="6" s="1"/>
  <c r="I99" i="6" s="1"/>
  <c r="D98" i="6"/>
  <c r="G98" i="6" s="1"/>
  <c r="I98" i="6" s="1"/>
  <c r="G97" i="6"/>
  <c r="I97" i="6" s="1"/>
  <c r="D97" i="6"/>
  <c r="D96" i="6"/>
  <c r="G96" i="6" s="1"/>
  <c r="I96" i="6" s="1"/>
  <c r="I95" i="6"/>
  <c r="D94" i="6"/>
  <c r="G94" i="6" s="1"/>
  <c r="I94" i="6" s="1"/>
  <c r="D93" i="6"/>
  <c r="G93" i="6" s="1"/>
  <c r="I93" i="6" s="1"/>
  <c r="I92" i="6"/>
  <c r="D92" i="6"/>
  <c r="G92" i="6" s="1"/>
  <c r="I91" i="6"/>
  <c r="D90" i="6"/>
  <c r="G90" i="6" s="1"/>
  <c r="I90" i="6" s="1"/>
  <c r="D89" i="6"/>
  <c r="G89" i="6" s="1"/>
  <c r="I89" i="6" s="1"/>
  <c r="D88" i="6"/>
  <c r="G88" i="6" s="1"/>
  <c r="I88" i="6" s="1"/>
  <c r="G87" i="6"/>
  <c r="I87" i="6" s="1"/>
  <c r="D87" i="6"/>
  <c r="D86" i="6"/>
  <c r="G86" i="6" s="1"/>
  <c r="I86" i="6" s="1"/>
  <c r="D85" i="6"/>
  <c r="G85" i="6" s="1"/>
  <c r="I85" i="6" s="1"/>
  <c r="D84" i="6"/>
  <c r="G84" i="6" s="1"/>
  <c r="I84" i="6" s="1"/>
  <c r="D83" i="6"/>
  <c r="G83" i="6" s="1"/>
  <c r="I83" i="6" s="1"/>
  <c r="D82" i="6"/>
  <c r="G82" i="6" s="1"/>
  <c r="I82" i="6" s="1"/>
  <c r="D81" i="6"/>
  <c r="G81" i="6" s="1"/>
  <c r="I81" i="6" s="1"/>
  <c r="D80" i="6"/>
  <c r="G80" i="6" s="1"/>
  <c r="I80" i="6" s="1"/>
  <c r="D79" i="6"/>
  <c r="G79" i="6" s="1"/>
  <c r="I79" i="6" s="1"/>
  <c r="D78" i="6"/>
  <c r="G78" i="6" s="1"/>
  <c r="I78" i="6" s="1"/>
  <c r="D77" i="6"/>
  <c r="G77" i="6" s="1"/>
  <c r="I77" i="6" s="1"/>
  <c r="D76" i="6"/>
  <c r="G76" i="6" s="1"/>
  <c r="I76" i="6" s="1"/>
  <c r="G75" i="6"/>
  <c r="I75" i="6" s="1"/>
  <c r="D75" i="6"/>
  <c r="D74" i="6"/>
  <c r="G74" i="6" s="1"/>
  <c r="I74" i="6" s="1"/>
  <c r="G73" i="6"/>
  <c r="I73" i="6" s="1"/>
  <c r="D73" i="6"/>
  <c r="D72" i="6"/>
  <c r="G72" i="6" s="1"/>
  <c r="I72" i="6" s="1"/>
  <c r="D71" i="6"/>
  <c r="G71" i="6" s="1"/>
  <c r="I71" i="6" s="1"/>
  <c r="G70" i="6"/>
  <c r="I70" i="6" s="1"/>
  <c r="D70" i="6"/>
  <c r="D69" i="6"/>
  <c r="G69" i="6" s="1"/>
  <c r="I69" i="6" s="1"/>
  <c r="D68" i="6"/>
  <c r="G68" i="6" s="1"/>
  <c r="I68" i="6" s="1"/>
  <c r="D67" i="6"/>
  <c r="G67" i="6" s="1"/>
  <c r="I67" i="6" s="1"/>
  <c r="D66" i="6"/>
  <c r="G66" i="6" s="1"/>
  <c r="D65" i="6"/>
  <c r="G65" i="6" s="1"/>
  <c r="I65" i="6" s="1"/>
  <c r="D64" i="6"/>
  <c r="G64" i="6" s="1"/>
  <c r="I64" i="6" s="1"/>
  <c r="G63" i="6"/>
  <c r="I63" i="6" s="1"/>
  <c r="D63" i="6"/>
  <c r="D62" i="6"/>
  <c r="G62" i="6" s="1"/>
  <c r="I62" i="6" s="1"/>
  <c r="D61" i="6"/>
  <c r="G61" i="6" s="1"/>
  <c r="I61" i="6" s="1"/>
  <c r="D60" i="6"/>
  <c r="G60" i="6" s="1"/>
  <c r="I60" i="6" s="1"/>
  <c r="D59" i="6"/>
  <c r="G59" i="6" s="1"/>
  <c r="I59" i="6" s="1"/>
  <c r="D58" i="6"/>
  <c r="G58" i="6" s="1"/>
  <c r="I58" i="6" s="1"/>
  <c r="G57" i="6"/>
  <c r="I57" i="6" s="1"/>
  <c r="D57" i="6"/>
  <c r="D56" i="6"/>
  <c r="G56" i="6" s="1"/>
  <c r="I56" i="6" s="1"/>
  <c r="D55" i="6"/>
  <c r="G55" i="6" s="1"/>
  <c r="I55" i="6" s="1"/>
  <c r="D54" i="6"/>
  <c r="G54" i="6" s="1"/>
  <c r="I54" i="6" s="1"/>
  <c r="G53" i="6"/>
  <c r="I53" i="6" s="1"/>
  <c r="D53" i="6"/>
  <c r="D52" i="6"/>
  <c r="G52" i="6" s="1"/>
  <c r="I52" i="6" s="1"/>
  <c r="D51" i="6"/>
  <c r="G51" i="6" s="1"/>
  <c r="I51" i="6" s="1"/>
  <c r="D50" i="6"/>
  <c r="G50" i="6" s="1"/>
  <c r="I50" i="6" s="1"/>
  <c r="D49" i="6"/>
  <c r="G49" i="6" s="1"/>
  <c r="I49" i="6" s="1"/>
  <c r="D48" i="6"/>
  <c r="G48" i="6" s="1"/>
  <c r="I48" i="6" s="1"/>
  <c r="G47" i="6"/>
  <c r="I47" i="6" s="1"/>
  <c r="D47" i="6"/>
  <c r="D46" i="6"/>
  <c r="G46" i="6" s="1"/>
  <c r="I46" i="6" s="1"/>
  <c r="D45" i="6"/>
  <c r="G45" i="6" s="1"/>
  <c r="I45" i="6" s="1"/>
  <c r="D44" i="6"/>
  <c r="G44" i="6" s="1"/>
  <c r="I44" i="6" s="1"/>
  <c r="D43" i="6"/>
  <c r="G43" i="6" s="1"/>
  <c r="I43" i="6" s="1"/>
  <c r="D42" i="6"/>
  <c r="G42" i="6" s="1"/>
  <c r="I42" i="6" s="1"/>
  <c r="D41" i="6"/>
  <c r="G41" i="6" s="1"/>
  <c r="I41" i="6" s="1"/>
  <c r="D40" i="6"/>
  <c r="G40" i="6" s="1"/>
  <c r="I40" i="6" s="1"/>
  <c r="D39" i="6"/>
  <c r="G39" i="6" s="1"/>
  <c r="I39" i="6" s="1"/>
  <c r="D38" i="6"/>
  <c r="G38" i="6" s="1"/>
  <c r="I38" i="6" s="1"/>
  <c r="G37" i="6"/>
  <c r="I37" i="6" s="1"/>
  <c r="D37" i="6"/>
  <c r="D36" i="6"/>
  <c r="G36" i="6" s="1"/>
  <c r="I36" i="6" s="1"/>
  <c r="D35" i="6"/>
  <c r="G35" i="6" s="1"/>
  <c r="I35" i="6" s="1"/>
  <c r="D34" i="6"/>
  <c r="G34" i="6" s="1"/>
  <c r="I34" i="6" s="1"/>
  <c r="D33" i="6"/>
  <c r="G33" i="6" s="1"/>
  <c r="I33" i="6" s="1"/>
  <c r="D32" i="6"/>
  <c r="G32" i="6" s="1"/>
  <c r="I32" i="6" s="1"/>
  <c r="G31" i="6"/>
  <c r="I31" i="6" s="1"/>
  <c r="D31" i="6"/>
  <c r="D30" i="6"/>
  <c r="G30" i="6" s="1"/>
  <c r="I30" i="6" s="1"/>
  <c r="D29" i="6"/>
  <c r="G29" i="6" s="1"/>
  <c r="I29" i="6" s="1"/>
  <c r="D26" i="6"/>
  <c r="G26" i="6" s="1"/>
  <c r="I26" i="6" s="1"/>
  <c r="D25" i="6"/>
  <c r="G25" i="6" s="1"/>
  <c r="I25" i="6" s="1"/>
  <c r="D24" i="6"/>
  <c r="G24" i="6" s="1"/>
  <c r="I24" i="6" s="1"/>
  <c r="D23" i="6"/>
  <c r="G23" i="6" s="1"/>
  <c r="I23" i="6" s="1"/>
  <c r="D22" i="6"/>
  <c r="G22" i="6" s="1"/>
  <c r="I22" i="6" s="1"/>
  <c r="D21" i="6"/>
  <c r="G21" i="6" s="1"/>
  <c r="I21" i="6" s="1"/>
  <c r="D20" i="6"/>
  <c r="G20" i="6" s="1"/>
  <c r="I20" i="6" s="1"/>
  <c r="G19" i="6"/>
  <c r="I19" i="6" s="1"/>
  <c r="D19" i="6"/>
  <c r="D18" i="6"/>
  <c r="G18" i="6" s="1"/>
  <c r="I18" i="6" s="1"/>
  <c r="D17" i="6"/>
  <c r="G17" i="6" s="1"/>
  <c r="I17" i="6" s="1"/>
  <c r="D16" i="6"/>
  <c r="G16" i="6" s="1"/>
  <c r="I16" i="6" s="1"/>
  <c r="D15" i="6"/>
  <c r="G15" i="6" s="1"/>
  <c r="I15" i="6" s="1"/>
  <c r="D14" i="6"/>
  <c r="G14" i="6" s="1"/>
  <c r="I14" i="6" s="1"/>
  <c r="G13" i="6"/>
  <c r="I13" i="6" s="1"/>
  <c r="D13" i="6"/>
  <c r="D12" i="6"/>
  <c r="G12" i="6" s="1"/>
  <c r="I12" i="6" s="1"/>
  <c r="D11" i="6"/>
  <c r="G11" i="6" s="1"/>
  <c r="I11" i="6" s="1"/>
  <c r="D10" i="6"/>
  <c r="G10" i="6" s="1"/>
  <c r="I10" i="6" s="1"/>
  <c r="D9" i="6"/>
  <c r="G9" i="6" s="1"/>
  <c r="I9" i="6" s="1"/>
  <c r="D8" i="6"/>
  <c r="G8" i="6" s="1"/>
  <c r="I8" i="6" s="1"/>
  <c r="G7" i="6"/>
  <c r="I7" i="6" s="1"/>
  <c r="D7" i="6"/>
  <c r="D6" i="6"/>
  <c r="G6" i="6" s="1"/>
  <c r="I6" i="6" s="1"/>
  <c r="D5" i="6"/>
  <c r="G5" i="6" s="1"/>
  <c r="I5" i="6" s="1"/>
  <c r="I334" i="6" l="1"/>
  <c r="B13" i="5" l="1"/>
  <c r="B14" i="5" l="1"/>
  <c r="C16" i="5" l="1"/>
  <c r="B7" i="5" l="1"/>
  <c r="C9" i="5" l="1"/>
  <c r="C4" i="5" l="1"/>
  <c r="C10" i="5" s="1"/>
  <c r="C17" i="5" s="1"/>
  <c r="C26" i="5" s="1"/>
</calcChain>
</file>

<file path=xl/sharedStrings.xml><?xml version="1.0" encoding="utf-8"?>
<sst xmlns="http://schemas.openxmlformats.org/spreadsheetml/2006/main" count="1914" uniqueCount="462">
  <si>
    <t>QTY SOLD</t>
  </si>
  <si>
    <t>U/PRICE</t>
  </si>
  <si>
    <t>AMOUNT</t>
  </si>
  <si>
    <t>INFUSION</t>
  </si>
  <si>
    <t>ANTI HYPERTENSIVE</t>
  </si>
  <si>
    <t>AMILODIPINE 10MG</t>
  </si>
  <si>
    <t>CARVIDOLOL 6.25MG</t>
  </si>
  <si>
    <t>NIFIDIPINE 90MG</t>
  </si>
  <si>
    <t>ANTI DIABETIC</t>
  </si>
  <si>
    <t>INSULIN</t>
  </si>
  <si>
    <t>METFORMIN</t>
  </si>
  <si>
    <t>MULTIVITAMINE</t>
  </si>
  <si>
    <t>FOLIC ACID</t>
  </si>
  <si>
    <t>FESOLATE</t>
  </si>
  <si>
    <t>VITAMINE-C</t>
  </si>
  <si>
    <t>ANAGESICS/ ANTI INFLAMMATORIES</t>
  </si>
  <si>
    <t>IBUPRFEN 80MG</t>
  </si>
  <si>
    <t>NAPROXEN 250MG</t>
  </si>
  <si>
    <t>TIZANIDINE 2 MG</t>
  </si>
  <si>
    <t>ACETAMINOPHEN 500GM</t>
  </si>
  <si>
    <t>ANTI-ULCER</t>
  </si>
  <si>
    <t>OMEPRAZOLE 40MG</t>
  </si>
  <si>
    <t>ANTI-BACTERIA</t>
  </si>
  <si>
    <t>AMOXICILLIN 250MG</t>
  </si>
  <si>
    <t>METRONIDAZOLE 500MG</t>
  </si>
  <si>
    <t>DOXYCYLIN 100MG</t>
  </si>
  <si>
    <t>AZITHROMYCINE</t>
  </si>
  <si>
    <t>CEPHALEXIN 500MG</t>
  </si>
  <si>
    <t>SULFAMETHOXACIN 500MG</t>
  </si>
  <si>
    <t>CEFFIXIME 500MG</t>
  </si>
  <si>
    <t>CIPROFLOXACIN 500MG</t>
  </si>
  <si>
    <t>ERYTHROMYCIN 400MG</t>
  </si>
  <si>
    <t>ANTI EMETIC/ ANTI- HISTAMINE</t>
  </si>
  <si>
    <t>LOPRAMIDE 2MG</t>
  </si>
  <si>
    <t>METOCLOPREMIDE 5MG</t>
  </si>
  <si>
    <t>DIURETICS</t>
  </si>
  <si>
    <t>HYDROCHLOROTHIAZIDE 25MG</t>
  </si>
  <si>
    <t>SPIRONOLACTONE 25MG</t>
  </si>
  <si>
    <t>ARTSUNATE/AMODIQUINE</t>
  </si>
  <si>
    <t>CABAMAZEPIN 200MG</t>
  </si>
  <si>
    <t>MEBENDAZOLE 500MG</t>
  </si>
  <si>
    <t>DONZAPRIL 10MG</t>
  </si>
  <si>
    <t>INJECTIONS</t>
  </si>
  <si>
    <t>PARACETAMOL 300MG</t>
  </si>
  <si>
    <t>PROMETHAZINE 50MG</t>
  </si>
  <si>
    <t>DICLOFENAC 75MG</t>
  </si>
  <si>
    <t>GENTAMICIN</t>
  </si>
  <si>
    <t>METOCLOPRAMIDE-10</t>
  </si>
  <si>
    <t>KETAMINE HYDROCLORIDE 50MG</t>
  </si>
  <si>
    <t>COAMOXICLAV</t>
  </si>
  <si>
    <t>FUROSEMIDE</t>
  </si>
  <si>
    <t>OXYTOCIN</t>
  </si>
  <si>
    <t>CEFTRIAXONE</t>
  </si>
  <si>
    <t>DEXAETHASOME</t>
  </si>
  <si>
    <t>HRTEMETHO</t>
  </si>
  <si>
    <t>D/ SALINE</t>
  </si>
  <si>
    <t>N/ SALINE</t>
  </si>
  <si>
    <t>D/ WATER</t>
  </si>
  <si>
    <t>METRO IV</t>
  </si>
  <si>
    <t>CIPRO IV</t>
  </si>
  <si>
    <t>4.3% DEXTROSE</t>
  </si>
  <si>
    <t>50% DEXTROSE</t>
  </si>
  <si>
    <t>DARROWS</t>
  </si>
  <si>
    <t>LABORATORY</t>
  </si>
  <si>
    <t>MALARIA KIT</t>
  </si>
  <si>
    <t>OTHER ITEMS</t>
  </si>
  <si>
    <t>URINE BAG</t>
  </si>
  <si>
    <t>PENTAZOCINE</t>
  </si>
  <si>
    <t>RINGER</t>
  </si>
  <si>
    <t>CYFOTEC</t>
  </si>
  <si>
    <t>ANTI-MALARIA</t>
  </si>
  <si>
    <t>ARTHEMETER</t>
  </si>
  <si>
    <t>ADRENALINE</t>
  </si>
  <si>
    <t>HYDROCORTSON</t>
  </si>
  <si>
    <t>ERGOT</t>
  </si>
  <si>
    <t>AMINOPHYLYN</t>
  </si>
  <si>
    <t>OMEPRAZOLE</t>
  </si>
  <si>
    <t>DIAZEPAM</t>
  </si>
  <si>
    <t>AIOCIN</t>
  </si>
  <si>
    <t>FRUSEMIDE</t>
  </si>
  <si>
    <t>VITAMINE B COMPLEX</t>
  </si>
  <si>
    <t>FUROSEMIDE 40MG</t>
  </si>
  <si>
    <t>AMOXIL 500MG</t>
  </si>
  <si>
    <t>AMPICLOX 500MG</t>
  </si>
  <si>
    <t>LEVOFLOXCINE 500MG</t>
  </si>
  <si>
    <t>CARFEGOT 1MG</t>
  </si>
  <si>
    <t>STUGERON 25MG</t>
  </si>
  <si>
    <t>DIGIXON .25MG</t>
  </si>
  <si>
    <t>TADALIFIL 20MG</t>
  </si>
  <si>
    <t>PIROXICAM 20MG</t>
  </si>
  <si>
    <t>SABUTAMOL/THEOPHYLINE</t>
  </si>
  <si>
    <t>MEBENDAZOLE</t>
  </si>
  <si>
    <t>VASOPRINE 75MG</t>
  </si>
  <si>
    <t>BRONCHOLYTE SYRUP</t>
  </si>
  <si>
    <t>COFLINE</t>
  </si>
  <si>
    <t>MIST MAG</t>
  </si>
  <si>
    <t>VITAMINE-C SYRUP</t>
  </si>
  <si>
    <t>PRIMPEX SYRUP</t>
  </si>
  <si>
    <t>MULTIVITE SYRUP</t>
  </si>
  <si>
    <t>LEXOTAN 5MG</t>
  </si>
  <si>
    <t>SYRING 5M/S</t>
  </si>
  <si>
    <t>SYRING 2M/S</t>
  </si>
  <si>
    <t>SYRING 10M/S</t>
  </si>
  <si>
    <t>GAUZE</t>
  </si>
  <si>
    <t>COTTON</t>
  </si>
  <si>
    <t>CHROMIC 2/O</t>
  </si>
  <si>
    <t>NYLON 2/O</t>
  </si>
  <si>
    <t>GERMICIDE</t>
  </si>
  <si>
    <t>SURGICAL BLADE</t>
  </si>
  <si>
    <t>PURIT</t>
  </si>
  <si>
    <t>IODINE</t>
  </si>
  <si>
    <t>SPIRIT</t>
  </si>
  <si>
    <t>EUSOL</t>
  </si>
  <si>
    <t>CYTOTEC</t>
  </si>
  <si>
    <t>CARTHETER</t>
  </si>
  <si>
    <t>CANULAR</t>
  </si>
  <si>
    <t>DRIP SET</t>
  </si>
  <si>
    <t>DEXAMETHASON</t>
  </si>
  <si>
    <t>ARTSUNATE</t>
  </si>
  <si>
    <t>SURGICAL GLOVE</t>
  </si>
  <si>
    <t>EXAM GLOVE</t>
  </si>
  <si>
    <t>ENVELOPE</t>
  </si>
  <si>
    <t>STIMETIL</t>
  </si>
  <si>
    <t>CLARITHROMYCIN</t>
  </si>
  <si>
    <t>DATE</t>
  </si>
  <si>
    <t>CARD</t>
  </si>
  <si>
    <t>LAB</t>
  </si>
  <si>
    <t>BED</t>
  </si>
  <si>
    <t>DRUGS</t>
  </si>
  <si>
    <t>DELIVERY</t>
  </si>
  <si>
    <t>MENTAL</t>
  </si>
  <si>
    <t>DRESSING</t>
  </si>
  <si>
    <t>TOTAL</t>
  </si>
  <si>
    <t>OXYGEN</t>
  </si>
  <si>
    <t>PARACETAMOL SYRUP</t>
  </si>
  <si>
    <t>AMOXYL SYRUP</t>
  </si>
  <si>
    <t>CAMOXYCLAV</t>
  </si>
  <si>
    <t>ARTHEMETER/LUMEFATIN</t>
  </si>
  <si>
    <t>NIDDLE 21G</t>
  </si>
  <si>
    <t>NIDDLE 22G</t>
  </si>
  <si>
    <t>NIDDLE 23G</t>
  </si>
  <si>
    <t>ARTANE</t>
  </si>
  <si>
    <t>TAMSOLUSIN</t>
  </si>
  <si>
    <t>CETRIXINE</t>
  </si>
  <si>
    <t>BETADINE</t>
  </si>
  <si>
    <t>BETADINE BIG</t>
  </si>
  <si>
    <t>BATTERY</t>
  </si>
  <si>
    <t>PLASTER</t>
  </si>
  <si>
    <t>BANDAGE 6 INCHES</t>
  </si>
  <si>
    <t>BANDAGE 4 INCHES</t>
  </si>
  <si>
    <t>CHYMORAL</t>
  </si>
  <si>
    <t>FRANOL</t>
  </si>
  <si>
    <t>ZINC</t>
  </si>
  <si>
    <t>LAGACTIL</t>
  </si>
  <si>
    <t>ARTELIFE</t>
  </si>
  <si>
    <t>MODUCATE</t>
  </si>
  <si>
    <t>%</t>
  </si>
  <si>
    <t>Invoice No.</t>
  </si>
  <si>
    <t>PARTICULARS</t>
  </si>
  <si>
    <t xml:space="preserve"> </t>
  </si>
  <si>
    <t>N</t>
  </si>
  <si>
    <t>Add Carriage</t>
  </si>
  <si>
    <t>COST OF SALES</t>
  </si>
  <si>
    <t>GROSS PROFIT</t>
  </si>
  <si>
    <t>EXPENSES</t>
  </si>
  <si>
    <t>SALARIES</t>
  </si>
  <si>
    <t>POWER/LIGHTING</t>
  </si>
  <si>
    <t>TRANSPORT</t>
  </si>
  <si>
    <t>NET PROFIT/LOSS</t>
  </si>
  <si>
    <t>SALES</t>
  </si>
  <si>
    <t>OTHER</t>
  </si>
  <si>
    <t>HO2. 4mg</t>
  </si>
  <si>
    <t>HIDINOCAM</t>
  </si>
  <si>
    <t>HYDRALAZINE</t>
  </si>
  <si>
    <t>A4 PAPER</t>
  </si>
  <si>
    <t>PROXICAM</t>
  </si>
  <si>
    <t>MEFFORMINE</t>
  </si>
  <si>
    <t>METOPROL</t>
  </si>
  <si>
    <t>PREDINSOLINE</t>
  </si>
  <si>
    <t>DICLOFENAC</t>
  </si>
  <si>
    <t>SEMETIL</t>
  </si>
  <si>
    <t>MET/GMPAGHPHOZINE</t>
  </si>
  <si>
    <t>PROPANALO</t>
  </si>
  <si>
    <t>RANITIDINE</t>
  </si>
  <si>
    <t>FLUCONAZOLE</t>
  </si>
  <si>
    <t>PIRITON</t>
  </si>
  <si>
    <t>LIMOTIL</t>
  </si>
  <si>
    <t>MUCUS RELIEF</t>
  </si>
  <si>
    <t>ALPHA BITTER</t>
  </si>
  <si>
    <t>REVENUE (CASH)</t>
  </si>
  <si>
    <t>BALANCE</t>
  </si>
  <si>
    <t>B/F</t>
  </si>
  <si>
    <t>Add PURCHASES</t>
  </si>
  <si>
    <t>INCOME</t>
  </si>
  <si>
    <t>SUMMARY</t>
  </si>
  <si>
    <t>DEPOSITE INTO ACIU ACOUNT</t>
  </si>
  <si>
    <t>BAL B/D</t>
  </si>
  <si>
    <t>GRAND TOTAL</t>
  </si>
  <si>
    <t>CIPROTINIDAZOLE</t>
  </si>
  <si>
    <t>ARBENDAZOLE</t>
  </si>
  <si>
    <t>CEFTAZIDINE</t>
  </si>
  <si>
    <t>ARTHEMETER/LUMEFATIN/ CHILDREN</t>
  </si>
  <si>
    <t>SURGERY</t>
  </si>
  <si>
    <t>HYOCINE</t>
  </si>
  <si>
    <t xml:space="preserve">BRONCHOLYTE </t>
  </si>
  <si>
    <t>CATGUT</t>
  </si>
  <si>
    <t>FEROUS</t>
  </si>
  <si>
    <t>LORATIDINE</t>
  </si>
  <si>
    <t>IBUPRFEN 400MG</t>
  </si>
  <si>
    <t>CUTCLAP</t>
  </si>
  <si>
    <t>SILK</t>
  </si>
  <si>
    <t>medi</t>
  </si>
  <si>
    <t>carriage</t>
  </si>
  <si>
    <t>OFFICE SUPPLIES</t>
  </si>
  <si>
    <t>INDEGENT</t>
  </si>
  <si>
    <t>DEMENTIA</t>
  </si>
  <si>
    <t>GLIPIZIDE</t>
  </si>
  <si>
    <t>TETNUS OXIDE</t>
  </si>
  <si>
    <t>EXPECTORANT</t>
  </si>
  <si>
    <t>MOTALUCORST SODIIUM</t>
  </si>
  <si>
    <t>FUROSEMIDE 20MG</t>
  </si>
  <si>
    <t>FAMOTIDINE</t>
  </si>
  <si>
    <t>EBECEF</t>
  </si>
  <si>
    <t>GIGAS</t>
  </si>
  <si>
    <t>PT KIT</t>
  </si>
  <si>
    <t>RUST</t>
  </si>
  <si>
    <t>MUCUS EXTRACTOR</t>
  </si>
  <si>
    <t>NG TUBE</t>
  </si>
  <si>
    <t>WATER FOR INJECTION</t>
  </si>
  <si>
    <t>PLAIN BOTTLE</t>
  </si>
  <si>
    <t xml:space="preserve">VIT K3 </t>
  </si>
  <si>
    <t>OXYGEN CANULAR CHILDREN</t>
  </si>
  <si>
    <t>OXYGEN CANULAR ADULT</t>
  </si>
  <si>
    <t>EMAL</t>
  </si>
  <si>
    <t>MOKO SPIRIT</t>
  </si>
  <si>
    <t>LIDOCAIN</t>
  </si>
  <si>
    <t>EDT BOTTLE</t>
  </si>
  <si>
    <t>GLUCOMETER STRIPS</t>
  </si>
  <si>
    <t>VIT A</t>
  </si>
  <si>
    <t>FAMOFIDING</t>
  </si>
  <si>
    <t>ABENDAZOLE</t>
  </si>
  <si>
    <t>NEPHIDIPIN</t>
  </si>
  <si>
    <t>HYDROXYCLOROGANIC</t>
  </si>
  <si>
    <t>GREEN BOTTLE</t>
  </si>
  <si>
    <t>SAVLON 750ML</t>
  </si>
  <si>
    <t>PHENOBARB</t>
  </si>
  <si>
    <t>FLEMING</t>
  </si>
  <si>
    <t>COGNITOL</t>
  </si>
  <si>
    <t>CAMOSONATE ADULT</t>
  </si>
  <si>
    <t>CAMOSONATE CHILDREN</t>
  </si>
  <si>
    <t>CAMOXYCLAV 600MG</t>
  </si>
  <si>
    <t>CAMOXYCLAV 1.2GM</t>
  </si>
  <si>
    <t xml:space="preserve">WATER </t>
  </si>
  <si>
    <t>GLUCOMETER BATTERY</t>
  </si>
  <si>
    <t>METRONINDAZOLE SYRUP</t>
  </si>
  <si>
    <t>FLEMINE ADULT</t>
  </si>
  <si>
    <t>METRO SYRUP</t>
  </si>
  <si>
    <t>CUREFENAC</t>
  </si>
  <si>
    <t>METRONIDAZOLE 200MG</t>
  </si>
  <si>
    <t>PREDINISOLON</t>
  </si>
  <si>
    <t>NYLON 1</t>
  </si>
  <si>
    <t>BRANDED BAG</t>
  </si>
  <si>
    <t xml:space="preserve">GLUCOMETER </t>
  </si>
  <si>
    <t>H. PALORI</t>
  </si>
  <si>
    <t>PLASIL</t>
  </si>
  <si>
    <t>ROBINAX</t>
  </si>
  <si>
    <t>IBUPRFEN 200MG</t>
  </si>
  <si>
    <t>ACETAMINOPHEN 325MG</t>
  </si>
  <si>
    <t>AMOXICILLIN 500MG</t>
  </si>
  <si>
    <t>NOVAMENTINE</t>
  </si>
  <si>
    <t>VORATHEM</t>
  </si>
  <si>
    <t>DETERGENT</t>
  </si>
  <si>
    <t>SURCHARGE</t>
  </si>
  <si>
    <t>PLEXITON</t>
  </si>
  <si>
    <t>IBUPRO SYRUP</t>
  </si>
  <si>
    <t>CIPROZINE</t>
  </si>
  <si>
    <t>HCTZ 20MG</t>
  </si>
  <si>
    <t>DISPOSABLE GOWN</t>
  </si>
  <si>
    <t>CALCIUM D3</t>
  </si>
  <si>
    <t>GBECEF</t>
  </si>
  <si>
    <t>LABETALOL</t>
  </si>
  <si>
    <t>SAVLON 4L</t>
  </si>
  <si>
    <t>VITAMINE-C 1000MG</t>
  </si>
  <si>
    <t>VITAMINE-E 1000MG</t>
  </si>
  <si>
    <t>PLEXITON BOTTLE</t>
  </si>
  <si>
    <t>OMEPRAZOLE 80MG</t>
  </si>
  <si>
    <t>OFLOXACIN</t>
  </si>
  <si>
    <t>WAGES</t>
  </si>
  <si>
    <t>LYNSCLAV</t>
  </si>
  <si>
    <t>FLEMINE 475</t>
  </si>
  <si>
    <t>AMPICLOX SYRUP</t>
  </si>
  <si>
    <t>EMZOCLOX</t>
  </si>
  <si>
    <t>BUSCOMAC</t>
  </si>
  <si>
    <t>MANITOL 20%</t>
  </si>
  <si>
    <t>MANITOL 10%</t>
  </si>
  <si>
    <t>HCV</t>
  </si>
  <si>
    <t>VDRI</t>
  </si>
  <si>
    <t>CHROMIC 2</t>
  </si>
  <si>
    <t>PINK CANULAR</t>
  </si>
  <si>
    <t>VASELINE B/S</t>
  </si>
  <si>
    <t>NEUROVITE</t>
  </si>
  <si>
    <t>ATROCARE</t>
  </si>
  <si>
    <t>SWIDAV</t>
  </si>
  <si>
    <t>WATER</t>
  </si>
  <si>
    <t>URINE BOTTLE</t>
  </si>
  <si>
    <t>LISINOPRIL 2MG</t>
  </si>
  <si>
    <t>METROPROLOL</t>
  </si>
  <si>
    <t>BG CLAV</t>
  </si>
  <si>
    <t>RUBBER BAND</t>
  </si>
  <si>
    <t>CALCULATOR</t>
  </si>
  <si>
    <t>AMITRIPTYLINE</t>
  </si>
  <si>
    <t>STELAZINE</t>
  </si>
  <si>
    <t>AMILODIPINE 20MG</t>
  </si>
  <si>
    <t>P. REPORT</t>
  </si>
  <si>
    <t>P.REPORT</t>
  </si>
  <si>
    <t>LUMAGLOBE</t>
  </si>
  <si>
    <t>ATROPINE</t>
  </si>
  <si>
    <t>ELBOW GLOVE</t>
  </si>
  <si>
    <t>CAPILLARY TUBE</t>
  </si>
  <si>
    <t>EDTA BOTTLE</t>
  </si>
  <si>
    <t>OXYTOLYTIC AGENT</t>
  </si>
  <si>
    <t>LUDOCIAN</t>
  </si>
  <si>
    <t>PROVIDON</t>
  </si>
  <si>
    <t>GABAPENTIN</t>
  </si>
  <si>
    <t>ORS</t>
  </si>
  <si>
    <t>ALDOMENT</t>
  </si>
  <si>
    <t>10% D/SALIN</t>
  </si>
  <si>
    <t>PREGABALIN</t>
  </si>
  <si>
    <t>REKMAL 120MG</t>
  </si>
  <si>
    <t>REKMAL 60MG</t>
  </si>
  <si>
    <t>CARBAMEZAPINE</t>
  </si>
  <si>
    <t>FRAGIL</t>
  </si>
  <si>
    <t>AMAL</t>
  </si>
  <si>
    <t>METHYLDOPA</t>
  </si>
  <si>
    <t>CIMETIDINE</t>
  </si>
  <si>
    <t>LANCET</t>
  </si>
  <si>
    <t>MAGNESIUM SULPHATE</t>
  </si>
  <si>
    <t>CHROMIC O</t>
  </si>
  <si>
    <t>CHROMIC 1</t>
  </si>
  <si>
    <t>POTASSIUM CHLORIDE</t>
  </si>
  <si>
    <t>DERMAZINE</t>
  </si>
  <si>
    <t>NEUROGESIC CREAM</t>
  </si>
  <si>
    <t>ULGICID</t>
  </si>
  <si>
    <t>LABETALOL INJ.</t>
  </si>
  <si>
    <t>VICRYL 0</t>
  </si>
  <si>
    <t>VICRYL  2/0</t>
  </si>
  <si>
    <t>CLOPIDOPRIL</t>
  </si>
  <si>
    <t>AMERTEM SOFTGEL</t>
  </si>
  <si>
    <t>CYTRIZINE</t>
  </si>
  <si>
    <t>BLOOMS</t>
  </si>
  <si>
    <t>PSYCHIATRICS</t>
  </si>
  <si>
    <t>OCTOBER,2022</t>
  </si>
  <si>
    <t>COST OF MATERIAL USAGE FOR THE MONTH OF OCTOBER 2022</t>
  </si>
  <si>
    <t>CEFFIXIME SYRUP</t>
  </si>
  <si>
    <t>BG CLAV SYRUP</t>
  </si>
  <si>
    <t>ASPRIN</t>
  </si>
  <si>
    <t>ACCACLOFENAC</t>
  </si>
  <si>
    <t>DUCOLAX</t>
  </si>
  <si>
    <t>YELLOW CANULAR</t>
  </si>
  <si>
    <t>LAGATIL</t>
  </si>
  <si>
    <t>10% D/WATER</t>
  </si>
  <si>
    <t>FLEMING 228</t>
  </si>
  <si>
    <t>AMILODIPINE 5MG</t>
  </si>
  <si>
    <t>CAMOXYCLAV SUSP.</t>
  </si>
  <si>
    <t>AZITHROMYCIN</t>
  </si>
  <si>
    <t>ACELUFENAC/PCM</t>
  </si>
  <si>
    <t>LIVOLIN FORTE</t>
  </si>
  <si>
    <t>FANSIDER</t>
  </si>
  <si>
    <t>P ALAXIN</t>
  </si>
  <si>
    <t>AMERTEM SOFTGEL CHILDREN</t>
  </si>
  <si>
    <t>BG CLAV SUSP.</t>
  </si>
  <si>
    <t>BG-MAL</t>
  </si>
  <si>
    <t>BG-MAL SUSP</t>
  </si>
  <si>
    <t>COMBI 9</t>
  </si>
  <si>
    <t>HIV KIT</t>
  </si>
  <si>
    <t>BP KIT</t>
  </si>
  <si>
    <t>GENOTYPE TANK</t>
  </si>
  <si>
    <t>LEVO INFUSION</t>
  </si>
  <si>
    <t>ACETATE PAPER</t>
  </si>
  <si>
    <t>TRIS BUFFER</t>
  </si>
  <si>
    <t>APPLICATOR STICK</t>
  </si>
  <si>
    <t>ANTI-D</t>
  </si>
  <si>
    <t>HBSNG</t>
  </si>
  <si>
    <t>PSA</t>
  </si>
  <si>
    <t>PETRI DISH</t>
  </si>
  <si>
    <t>HEPARIN BOTTLE</t>
  </si>
  <si>
    <t>LEISHMAN STAIN</t>
  </si>
  <si>
    <t>BLOOD BAG</t>
  </si>
  <si>
    <t>CONICAL FLASK</t>
  </si>
  <si>
    <t>P ALAXIN SYR</t>
  </si>
  <si>
    <t>PIRITON SYRUP</t>
  </si>
  <si>
    <t>MONTELUKAST</t>
  </si>
  <si>
    <t>RACOTRIM SYRUP</t>
  </si>
  <si>
    <t xml:space="preserve">RACOTRIM </t>
  </si>
  <si>
    <t>FUEL</t>
  </si>
  <si>
    <t>STORE PURCHASE:MEDICINE</t>
  </si>
  <si>
    <t>ERYTHROMYCIN SYRUP</t>
  </si>
  <si>
    <t>COST OF MATERIAL USAGE FOR THE MONTH OF  MAY. 2024</t>
  </si>
  <si>
    <t>MAY,2024</t>
  </si>
  <si>
    <t>VERMOX</t>
  </si>
  <si>
    <t>MONOMIN</t>
  </si>
  <si>
    <t xml:space="preserve">T-CARE </t>
  </si>
  <si>
    <t>LADY'S OWN</t>
  </si>
  <si>
    <t>KINGS TONIC</t>
  </si>
  <si>
    <t>FERROTAL XTRA</t>
  </si>
  <si>
    <t>CHEMIRON</t>
  </si>
  <si>
    <t>ARTEMETHER SYRUP</t>
  </si>
  <si>
    <t>PROMETHAZINE SYRUP</t>
  </si>
  <si>
    <t>FIELD STAIN A&amp;B</t>
  </si>
  <si>
    <t>COVER SLIP</t>
  </si>
  <si>
    <t>SLIDE</t>
  </si>
  <si>
    <t>TURKS SOLUTION</t>
  </si>
  <si>
    <t>OXYGEN REGULATOR</t>
  </si>
  <si>
    <t>VENTOLIIN</t>
  </si>
  <si>
    <t>FLEMINE SYRUP</t>
  </si>
  <si>
    <t>ACTUAL NET PROFIT</t>
  </si>
  <si>
    <t>FEEDING FOR PATIENT</t>
  </si>
  <si>
    <t>COST OF MATERIAL USAGE FOR THE MONTH OF  SEPT. 2024</t>
  </si>
  <si>
    <t>SEPT,2024</t>
  </si>
  <si>
    <t>COTRI-960</t>
  </si>
  <si>
    <t>EKWUEME</t>
  </si>
  <si>
    <t>WAYBILL</t>
  </si>
  <si>
    <t>MAY,2025</t>
  </si>
  <si>
    <t>COST OF MATERIAL USAGE FOR THE MONTH OF  MAY. 2025</t>
  </si>
  <si>
    <t>COST OF MATERIAL USAGE FOR THE MONTH OF  JULY. 2025</t>
  </si>
  <si>
    <t>JULY,2025</t>
  </si>
  <si>
    <t>REVENUE ASSURANCE REPORT FOR JULY 2025</t>
  </si>
  <si>
    <t>13/7/2025</t>
  </si>
  <si>
    <t>14/7/2025</t>
  </si>
  <si>
    <t>15/7/2025</t>
  </si>
  <si>
    <t>16/7/2025</t>
  </si>
  <si>
    <t>17/7/2025</t>
  </si>
  <si>
    <t>18/7/2025</t>
  </si>
  <si>
    <t>19/7/2025</t>
  </si>
  <si>
    <t>20/7/2025</t>
  </si>
  <si>
    <t>21/7/2025</t>
  </si>
  <si>
    <t>22/7/2025</t>
  </si>
  <si>
    <t>23/7/2025</t>
  </si>
  <si>
    <t>24/7/2025</t>
  </si>
  <si>
    <t>25/7/2025</t>
  </si>
  <si>
    <t>26/7/2025</t>
  </si>
  <si>
    <t>27/7/2025</t>
  </si>
  <si>
    <t>28/7/2025</t>
  </si>
  <si>
    <t>29/7/2025</t>
  </si>
  <si>
    <t>30/7/2025</t>
  </si>
  <si>
    <t>31/7/2025</t>
  </si>
  <si>
    <t>OFFICE SUPPLY</t>
  </si>
  <si>
    <t>LABOUR</t>
  </si>
  <si>
    <t>GLOVE</t>
  </si>
  <si>
    <t>SURGICAL EXPENSES</t>
  </si>
  <si>
    <t>STORE PURCHASE:MEDICINE (LOCAL)</t>
  </si>
  <si>
    <t xml:space="preserve">STORE PURCHASE:MEDICINE </t>
  </si>
  <si>
    <t>40 LEAVES</t>
  </si>
  <si>
    <t>REPAIR OF ENGINE ROOF</t>
  </si>
  <si>
    <t>CIRCUMCISION</t>
  </si>
  <si>
    <t>CARRIAGE</t>
  </si>
  <si>
    <t>CEMENT</t>
  </si>
  <si>
    <t>NORMAL SALINE</t>
  </si>
  <si>
    <t>KELVIN</t>
  </si>
  <si>
    <t>STATEMENT OF FINANCIAL PERFORMANCE FOR THE MONTH ENDED 31/07/2025</t>
  </si>
  <si>
    <t xml:space="preserve"> Stock @ 1/7/2025</t>
  </si>
  <si>
    <t>Less STOCK AS AT 31/7/2025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</si>
</sst>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b/>
      <sz val="10"/>
      <color rgb="FF00B05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/>
    <xf numFmtId="0" fontId="4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4" fontId="0" fillId="0" borderId="0" xfId="0" applyNumberFormat="1"/>
    <xf numFmtId="0" fontId="0" fillId="0" borderId="1" xfId="0" applyBorder="1"/>
    <xf numFmtId="4" fontId="0" fillId="0" borderId="2" xfId="0" applyNumberFormat="1" applyBorder="1"/>
    <xf numFmtId="4" fontId="4" fillId="0" borderId="3" xfId="0" applyNumberFormat="1" applyFont="1" applyBorder="1"/>
    <xf numFmtId="4" fontId="4" fillId="0" borderId="0" xfId="0" applyNumberFormat="1" applyFont="1"/>
    <xf numFmtId="0" fontId="5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0" fontId="2" fillId="2" borderId="0" xfId="0" applyFont="1" applyFill="1"/>
    <xf numFmtId="0" fontId="3" fillId="0" borderId="4" xfId="0" applyFont="1" applyBorder="1"/>
    <xf numFmtId="0" fontId="6" fillId="0" borderId="0" xfId="0" applyFont="1"/>
    <xf numFmtId="4" fontId="6" fillId="0" borderId="0" xfId="0" applyNumberFormat="1" applyFont="1"/>
    <xf numFmtId="164" fontId="6" fillId="0" borderId="5" xfId="1" applyFont="1" applyBorder="1"/>
    <xf numFmtId="4" fontId="6" fillId="0" borderId="5" xfId="1" applyNumberFormat="1" applyFont="1" applyBorder="1"/>
    <xf numFmtId="14" fontId="7" fillId="0" borderId="5" xfId="0" applyNumberFormat="1" applyFont="1" applyBorder="1" applyAlignment="1">
      <alignment horizontal="center"/>
    </xf>
    <xf numFmtId="4" fontId="7" fillId="0" borderId="5" xfId="0" applyNumberFormat="1" applyFont="1" applyBorder="1" applyAlignment="1">
      <alignment horizontal="center"/>
    </xf>
    <xf numFmtId="0" fontId="8" fillId="0" borderId="5" xfId="0" applyFont="1" applyBorder="1"/>
    <xf numFmtId="0" fontId="9" fillId="0" borderId="5" xfId="0" applyFont="1" applyBorder="1"/>
    <xf numFmtId="0" fontId="9" fillId="0" borderId="5" xfId="0" applyFont="1" applyBorder="1" applyAlignment="1">
      <alignment textRotation="90"/>
    </xf>
    <xf numFmtId="4" fontId="9" fillId="0" borderId="5" xfId="0" applyNumberFormat="1" applyFont="1" applyBorder="1" applyAlignment="1">
      <alignment textRotation="90"/>
    </xf>
    <xf numFmtId="164" fontId="9" fillId="0" borderId="5" xfId="1" applyFont="1" applyBorder="1" applyAlignment="1">
      <alignment textRotation="90"/>
    </xf>
    <xf numFmtId="0" fontId="6" fillId="0" borderId="5" xfId="0" applyFont="1" applyBorder="1"/>
    <xf numFmtId="165" fontId="6" fillId="0" borderId="5" xfId="0" applyNumberFormat="1" applyFont="1" applyBorder="1"/>
    <xf numFmtId="4" fontId="6" fillId="0" borderId="5" xfId="0" applyNumberFormat="1" applyFont="1" applyBorder="1"/>
    <xf numFmtId="4" fontId="6" fillId="3" borderId="5" xfId="0" applyNumberFormat="1" applyFont="1" applyFill="1" applyBorder="1"/>
    <xf numFmtId="4" fontId="6" fillId="2" borderId="5" xfId="0" applyNumberFormat="1" applyFont="1" applyFill="1" applyBorder="1"/>
    <xf numFmtId="4" fontId="6" fillId="4" borderId="5" xfId="0" applyNumberFormat="1" applyFont="1" applyFill="1" applyBorder="1"/>
    <xf numFmtId="4" fontId="6" fillId="3" borderId="5" xfId="1" applyNumberFormat="1" applyFont="1" applyFill="1" applyBorder="1"/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 wrapText="1"/>
    </xf>
    <xf numFmtId="164" fontId="6" fillId="0" borderId="0" xfId="0" applyNumberFormat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0" fillId="0" borderId="5" xfId="0" applyBorder="1"/>
    <xf numFmtId="0" fontId="0" fillId="0" borderId="5" xfId="0" applyBorder="1" applyAlignment="1">
      <alignment wrapText="1"/>
    </xf>
    <xf numFmtId="0" fontId="0" fillId="3" borderId="5" xfId="0" applyFill="1" applyBorder="1"/>
    <xf numFmtId="14" fontId="0" fillId="0" borderId="5" xfId="0" applyNumberFormat="1" applyBorder="1" applyAlignment="1">
      <alignment horizontal="left" wrapText="1"/>
    </xf>
    <xf numFmtId="0" fontId="0" fillId="3" borderId="5" xfId="0" applyFill="1" applyBorder="1" applyAlignment="1">
      <alignment wrapText="1"/>
    </xf>
    <xf numFmtId="0" fontId="2" fillId="0" borderId="5" xfId="0" applyFont="1" applyBorder="1" applyAlignment="1">
      <alignment horizontal="right"/>
    </xf>
    <xf numFmtId="0" fontId="6" fillId="0" borderId="5" xfId="1" applyNumberFormat="1" applyFont="1" applyBorder="1"/>
    <xf numFmtId="0" fontId="7" fillId="0" borderId="5" xfId="0" applyFont="1" applyBorder="1" applyAlignment="1">
      <alignment horizontal="center"/>
    </xf>
    <xf numFmtId="164" fontId="0" fillId="0" borderId="0" xfId="0" applyNumberFormat="1"/>
    <xf numFmtId="0" fontId="2" fillId="3" borderId="0" xfId="0" applyFont="1" applyFill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AppData/Local/Packages/5319275A.WhatsAppDesktop_cv1g1gvanyjgm/LocalState/sessions/5B77C035E29A0263AA816BFC1CE50C0A6F6F682A/transfers/2026-35/ACIU-NA%20MEDICAL%20COMPLEX%20MONTHLY%20REPORT%20FOR%20JULY%202025%20-%20TEMP.%20-%20Copy%20(2).xlsx" TargetMode="External"/><Relationship Id="rId2" Type="http://schemas.microsoft.com/office/2019/04/relationships/externalLinkLongPath" Target="/Users/DELL/AppData/Local/Packages/5319275A.WhatsAppDesktop_cv1g1gvanyjgm/LocalState/sessions/5B77C035E29A0263AA816BFC1CE50C0A6F6F682A/transfers/2026-35/ACIU-NA%20MEDICAL%20COMPLEX%20MONTHLY%20REPORT%20FOR%20JULY%202025%20-%20TEMP.%20-%20Copy%20(2).xlsx?4B14CCBC" TargetMode="External"/><Relationship Id="rId1" Type="http://schemas.openxmlformats.org/officeDocument/2006/relationships/externalLinkPath" Target="file:///\\4B14CCBC\ACIU-NA%20MEDICAL%20COMPLEX%20MONTHLY%20REPORT%20FOR%20JULY%202025%20-%20TEMP.%20-%20Copy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STOCK"/>
      <sheetName val="REVENUE"/>
      <sheetName val="IMPREST"/>
      <sheetName val="EXPENSE GROUPING"/>
      <sheetName val="FIN. REPORT"/>
      <sheetName val="Sheet3"/>
      <sheetName val="MAINTENANCE-OFFICE SUPPLIES"/>
      <sheetName val="MEDICATIONS"/>
      <sheetName val="Sheet1"/>
      <sheetName val="CLOSING STOCK"/>
      <sheetName val="Sheet2"/>
    </sheetNames>
    <sheetDataSet>
      <sheetData sheetId="0"/>
      <sheetData sheetId="1"/>
      <sheetData sheetId="2">
        <row r="39">
          <cell r="E39">
            <v>978400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6"/>
  <sheetViews>
    <sheetView topLeftCell="A348" workbookViewId="0">
      <selection activeCell="A4" sqref="A1:XFD1048576"/>
    </sheetView>
  </sheetViews>
  <sheetFormatPr defaultColWidth="8.6640625" defaultRowHeight="13.8" x14ac:dyDescent="0.3"/>
  <cols>
    <col min="1" max="1" width="21.44140625" style="17" customWidth="1"/>
    <col min="2" max="2" width="7.44140625" style="17" customWidth="1"/>
    <col min="3" max="3" width="8.6640625" style="17" customWidth="1"/>
    <col min="4" max="4" width="8.33203125" style="17" customWidth="1"/>
    <col min="5" max="5" width="5.44140625" style="17" customWidth="1"/>
    <col min="6" max="6" width="7.44140625" style="17" customWidth="1"/>
    <col min="7" max="7" width="8" style="17" customWidth="1"/>
    <col min="8" max="8" width="10.44140625" style="18" customWidth="1"/>
    <col min="9" max="9" width="12.6640625" style="17" customWidth="1"/>
    <col min="10" max="16384" width="8.6640625" style="17"/>
  </cols>
  <sheetData>
    <row r="1" spans="1:9" x14ac:dyDescent="0.3">
      <c r="A1" s="19" t="s">
        <v>424</v>
      </c>
      <c r="B1" s="19"/>
      <c r="C1" s="48"/>
      <c r="D1" s="19"/>
      <c r="E1" s="19"/>
      <c r="F1" s="19"/>
      <c r="G1" s="19"/>
      <c r="H1" s="20"/>
      <c r="I1" s="19"/>
    </row>
    <row r="2" spans="1:9" x14ac:dyDescent="0.3">
      <c r="A2" s="21" t="s">
        <v>425</v>
      </c>
      <c r="B2" s="21"/>
      <c r="C2" s="49"/>
      <c r="D2" s="21"/>
      <c r="E2" s="21"/>
      <c r="F2" s="21"/>
      <c r="G2" s="21"/>
      <c r="H2" s="22"/>
      <c r="I2" s="23"/>
    </row>
    <row r="3" spans="1:9" ht="50.4" x14ac:dyDescent="0.3">
      <c r="A3" s="24"/>
      <c r="B3" s="25"/>
      <c r="C3" s="25"/>
      <c r="D3" s="25"/>
      <c r="E3" s="25"/>
      <c r="F3" s="25"/>
      <c r="G3" s="25" t="s">
        <v>0</v>
      </c>
      <c r="H3" s="26" t="s">
        <v>1</v>
      </c>
      <c r="I3" s="27" t="s">
        <v>2</v>
      </c>
    </row>
    <row r="4" spans="1:9" x14ac:dyDescent="0.3">
      <c r="A4" s="24" t="s">
        <v>4</v>
      </c>
      <c r="B4" s="25"/>
      <c r="C4" s="25"/>
      <c r="D4" s="25"/>
      <c r="E4" s="25"/>
      <c r="F4" s="25"/>
      <c r="G4" s="25"/>
      <c r="H4" s="26"/>
      <c r="I4" s="27"/>
    </row>
    <row r="5" spans="1:9" x14ac:dyDescent="0.3">
      <c r="A5" s="28" t="s">
        <v>333</v>
      </c>
      <c r="B5" s="29">
        <v>70</v>
      </c>
      <c r="C5" s="28"/>
      <c r="D5" s="29">
        <f>B5+C5</f>
        <v>70</v>
      </c>
      <c r="E5" s="25"/>
      <c r="F5" s="29"/>
      <c r="G5" s="29">
        <f>D5-E5-F5</f>
        <v>70</v>
      </c>
      <c r="H5" s="29">
        <v>30</v>
      </c>
      <c r="I5" s="19">
        <f>G5*H5</f>
        <v>2100</v>
      </c>
    </row>
    <row r="6" spans="1:9" x14ac:dyDescent="0.3">
      <c r="A6" s="28" t="s">
        <v>5</v>
      </c>
      <c r="B6" s="29"/>
      <c r="C6" s="28"/>
      <c r="D6" s="29">
        <f>B6+C6</f>
        <v>0</v>
      </c>
      <c r="E6" s="28"/>
      <c r="F6" s="29"/>
      <c r="G6" s="29">
        <f>D6-E6-F6</f>
        <v>0</v>
      </c>
      <c r="H6" s="30">
        <v>30</v>
      </c>
      <c r="I6" s="19">
        <f>G6*H6</f>
        <v>0</v>
      </c>
    </row>
    <row r="7" spans="1:9" x14ac:dyDescent="0.3">
      <c r="A7" s="28" t="s">
        <v>362</v>
      </c>
      <c r="B7" s="28">
        <v>1000</v>
      </c>
      <c r="C7" s="28"/>
      <c r="D7" s="29">
        <f t="shared" ref="D7:D96" si="0">B7+C7</f>
        <v>1000</v>
      </c>
      <c r="E7" s="28"/>
      <c r="F7" s="28"/>
      <c r="G7" s="29">
        <f t="shared" ref="G7:G131" si="1">D7-E7-F7</f>
        <v>1000</v>
      </c>
      <c r="H7" s="30">
        <v>30</v>
      </c>
      <c r="I7" s="19">
        <f t="shared" ref="I7:I133" si="2">G7*H7</f>
        <v>30000</v>
      </c>
    </row>
    <row r="8" spans="1:9" x14ac:dyDescent="0.3">
      <c r="A8" s="28" t="s">
        <v>305</v>
      </c>
      <c r="B8" s="28">
        <v>10</v>
      </c>
      <c r="C8" s="28"/>
      <c r="D8" s="29">
        <f t="shared" si="0"/>
        <v>10</v>
      </c>
      <c r="E8" s="28"/>
      <c r="F8" s="28"/>
      <c r="G8" s="29">
        <f t="shared" si="1"/>
        <v>10</v>
      </c>
      <c r="H8" s="30">
        <v>300</v>
      </c>
      <c r="I8" s="19">
        <f t="shared" si="2"/>
        <v>3000</v>
      </c>
    </row>
    <row r="9" spans="1:9" x14ac:dyDescent="0.3">
      <c r="A9" s="28" t="s">
        <v>6</v>
      </c>
      <c r="B9" s="28"/>
      <c r="C9" s="28"/>
      <c r="D9" s="29">
        <f t="shared" si="0"/>
        <v>0</v>
      </c>
      <c r="E9" s="28"/>
      <c r="F9" s="28"/>
      <c r="G9" s="29">
        <f t="shared" si="1"/>
        <v>0</v>
      </c>
      <c r="H9" s="30">
        <v>30</v>
      </c>
      <c r="I9" s="19">
        <f t="shared" si="2"/>
        <v>0</v>
      </c>
    </row>
    <row r="10" spans="1:9" x14ac:dyDescent="0.3">
      <c r="A10" s="28" t="s">
        <v>7</v>
      </c>
      <c r="B10" s="28">
        <v>20</v>
      </c>
      <c r="C10" s="28"/>
      <c r="D10" s="29">
        <f t="shared" si="0"/>
        <v>20</v>
      </c>
      <c r="E10" s="28"/>
      <c r="F10" s="28"/>
      <c r="G10" s="29">
        <f t="shared" si="1"/>
        <v>20</v>
      </c>
      <c r="H10" s="30">
        <v>20</v>
      </c>
      <c r="I10" s="19">
        <f t="shared" si="2"/>
        <v>400</v>
      </c>
    </row>
    <row r="11" spans="1:9" x14ac:dyDescent="0.3">
      <c r="A11" s="28" t="s">
        <v>92</v>
      </c>
      <c r="B11" s="28">
        <v>7</v>
      </c>
      <c r="C11" s="28"/>
      <c r="D11" s="29">
        <f t="shared" si="0"/>
        <v>7</v>
      </c>
      <c r="E11" s="28"/>
      <c r="F11" s="28"/>
      <c r="G11" s="29">
        <f t="shared" si="1"/>
        <v>7</v>
      </c>
      <c r="H11" s="30">
        <v>500</v>
      </c>
      <c r="I11" s="19">
        <f t="shared" si="2"/>
        <v>3500</v>
      </c>
    </row>
    <row r="12" spans="1:9" x14ac:dyDescent="0.3">
      <c r="A12" s="28" t="s">
        <v>181</v>
      </c>
      <c r="B12" s="28"/>
      <c r="C12" s="28"/>
      <c r="D12" s="29">
        <f t="shared" si="0"/>
        <v>0</v>
      </c>
      <c r="E12" s="28"/>
      <c r="F12" s="28"/>
      <c r="G12" s="29">
        <f t="shared" si="1"/>
        <v>0</v>
      </c>
      <c r="H12" s="30">
        <v>10</v>
      </c>
      <c r="I12" s="19">
        <f t="shared" si="2"/>
        <v>0</v>
      </c>
    </row>
    <row r="13" spans="1:9" x14ac:dyDescent="0.3">
      <c r="A13" s="28" t="s">
        <v>276</v>
      </c>
      <c r="B13" s="28">
        <v>8000</v>
      </c>
      <c r="C13" s="28"/>
      <c r="D13" s="29">
        <f t="shared" si="0"/>
        <v>8000</v>
      </c>
      <c r="E13" s="28"/>
      <c r="F13" s="28"/>
      <c r="G13" s="29">
        <f t="shared" si="1"/>
        <v>8000</v>
      </c>
      <c r="H13" s="30">
        <v>20</v>
      </c>
      <c r="I13" s="19">
        <f t="shared" si="2"/>
        <v>160000</v>
      </c>
    </row>
    <row r="14" spans="1:9" x14ac:dyDescent="0.3">
      <c r="A14" s="28" t="s">
        <v>207</v>
      </c>
      <c r="B14" s="28">
        <v>8</v>
      </c>
      <c r="C14" s="28"/>
      <c r="D14" s="29">
        <f t="shared" si="0"/>
        <v>8</v>
      </c>
      <c r="E14" s="28"/>
      <c r="F14" s="28"/>
      <c r="G14" s="29">
        <f t="shared" si="1"/>
        <v>8</v>
      </c>
      <c r="H14" s="30">
        <v>1500</v>
      </c>
      <c r="I14" s="19">
        <f t="shared" si="2"/>
        <v>12000</v>
      </c>
    </row>
    <row r="15" spans="1:9" x14ac:dyDescent="0.3">
      <c r="A15" s="28" t="s">
        <v>179</v>
      </c>
      <c r="B15" s="28">
        <v>100</v>
      </c>
      <c r="C15" s="28"/>
      <c r="D15" s="29">
        <f t="shared" si="0"/>
        <v>100</v>
      </c>
      <c r="E15" s="28"/>
      <c r="F15" s="28"/>
      <c r="G15" s="29">
        <f t="shared" si="1"/>
        <v>100</v>
      </c>
      <c r="H15" s="30">
        <v>100</v>
      </c>
      <c r="I15" s="19">
        <f t="shared" si="2"/>
        <v>10000</v>
      </c>
    </row>
    <row r="16" spans="1:9" x14ac:dyDescent="0.3">
      <c r="A16" s="28" t="s">
        <v>306</v>
      </c>
      <c r="B16" s="28"/>
      <c r="C16" s="28"/>
      <c r="D16" s="29">
        <f t="shared" si="0"/>
        <v>0</v>
      </c>
      <c r="E16" s="28"/>
      <c r="F16" s="28"/>
      <c r="G16" s="29">
        <f t="shared" si="1"/>
        <v>0</v>
      </c>
      <c r="H16" s="30">
        <v>5</v>
      </c>
      <c r="I16" s="19">
        <f t="shared" si="2"/>
        <v>0</v>
      </c>
    </row>
    <row r="17" spans="1:9" x14ac:dyDescent="0.3">
      <c r="A17" s="28" t="s">
        <v>280</v>
      </c>
      <c r="B17" s="28"/>
      <c r="C17" s="28"/>
      <c r="D17" s="29">
        <f t="shared" si="0"/>
        <v>0</v>
      </c>
      <c r="E17" s="28"/>
      <c r="F17" s="28"/>
      <c r="G17" s="29">
        <f t="shared" si="1"/>
        <v>0</v>
      </c>
      <c r="H17" s="30">
        <v>900</v>
      </c>
      <c r="I17" s="19">
        <f t="shared" si="2"/>
        <v>0</v>
      </c>
    </row>
    <row r="18" spans="1:9" x14ac:dyDescent="0.3">
      <c r="A18" s="28" t="s">
        <v>325</v>
      </c>
      <c r="B18" s="28"/>
      <c r="C18" s="28"/>
      <c r="D18" s="29">
        <f t="shared" si="0"/>
        <v>0</v>
      </c>
      <c r="E18" s="28"/>
      <c r="F18" s="28"/>
      <c r="G18" s="29">
        <f t="shared" si="1"/>
        <v>0</v>
      </c>
      <c r="H18" s="30">
        <v>850</v>
      </c>
      <c r="I18" s="19">
        <f t="shared" si="2"/>
        <v>0</v>
      </c>
    </row>
    <row r="19" spans="1:9" x14ac:dyDescent="0.3">
      <c r="A19" s="28" t="s">
        <v>343</v>
      </c>
      <c r="B19" s="28"/>
      <c r="C19" s="28"/>
      <c r="D19" s="29">
        <f t="shared" si="0"/>
        <v>0</v>
      </c>
      <c r="E19" s="28"/>
      <c r="F19" s="28"/>
      <c r="G19" s="29">
        <f t="shared" si="1"/>
        <v>0</v>
      </c>
      <c r="H19" s="30">
        <v>1300</v>
      </c>
      <c r="I19" s="19">
        <f t="shared" si="2"/>
        <v>0</v>
      </c>
    </row>
    <row r="20" spans="1:9" x14ac:dyDescent="0.3">
      <c r="A20" s="28"/>
      <c r="B20" s="28"/>
      <c r="C20" s="28"/>
      <c r="D20" s="29">
        <f t="shared" si="0"/>
        <v>0</v>
      </c>
      <c r="E20" s="28"/>
      <c r="F20" s="28"/>
      <c r="G20" s="29">
        <f t="shared" si="1"/>
        <v>0</v>
      </c>
      <c r="H20" s="30"/>
      <c r="I20" s="19">
        <f t="shared" si="2"/>
        <v>0</v>
      </c>
    </row>
    <row r="21" spans="1:9" x14ac:dyDescent="0.3">
      <c r="A21" s="24" t="s">
        <v>130</v>
      </c>
      <c r="B21" s="28"/>
      <c r="C21" s="28"/>
      <c r="D21" s="29">
        <f t="shared" si="0"/>
        <v>0</v>
      </c>
      <c r="E21" s="28"/>
      <c r="F21" s="28"/>
      <c r="G21" s="29">
        <f t="shared" si="1"/>
        <v>0</v>
      </c>
      <c r="H21" s="30"/>
      <c r="I21" s="19">
        <f t="shared" si="2"/>
        <v>0</v>
      </c>
    </row>
    <row r="22" spans="1:9" x14ac:dyDescent="0.3">
      <c r="A22" s="28" t="s">
        <v>310</v>
      </c>
      <c r="B22" s="28">
        <v>20</v>
      </c>
      <c r="C22" s="28"/>
      <c r="D22" s="29">
        <f t="shared" si="0"/>
        <v>20</v>
      </c>
      <c r="E22" s="28"/>
      <c r="F22" s="28"/>
      <c r="G22" s="29">
        <f t="shared" si="1"/>
        <v>20</v>
      </c>
      <c r="H22" s="30">
        <v>25</v>
      </c>
      <c r="I22" s="19">
        <f t="shared" si="2"/>
        <v>500</v>
      </c>
    </row>
    <row r="23" spans="1:9" x14ac:dyDescent="0.3">
      <c r="A23" s="28" t="s">
        <v>311</v>
      </c>
      <c r="B23" s="28">
        <v>150</v>
      </c>
      <c r="C23" s="28"/>
      <c r="D23" s="29">
        <f>B23+C23</f>
        <v>150</v>
      </c>
      <c r="E23" s="28"/>
      <c r="F23" s="28"/>
      <c r="G23" s="29">
        <f>D23-E23-F23</f>
        <v>150</v>
      </c>
      <c r="H23" s="30">
        <v>50</v>
      </c>
      <c r="I23" s="19">
        <f t="shared" si="2"/>
        <v>7500</v>
      </c>
    </row>
    <row r="24" spans="1:9" x14ac:dyDescent="0.3">
      <c r="A24" s="28" t="s">
        <v>141</v>
      </c>
      <c r="B24" s="28">
        <v>250</v>
      </c>
      <c r="C24" s="28"/>
      <c r="D24" s="29">
        <f t="shared" si="0"/>
        <v>250</v>
      </c>
      <c r="E24" s="28"/>
      <c r="F24" s="28"/>
      <c r="G24" s="29">
        <f t="shared" si="1"/>
        <v>250</v>
      </c>
      <c r="H24" s="30">
        <v>70</v>
      </c>
      <c r="I24" s="19">
        <f>G24*H24</f>
        <v>17500</v>
      </c>
    </row>
    <row r="25" spans="1:9" x14ac:dyDescent="0.3">
      <c r="A25" s="28" t="s">
        <v>330</v>
      </c>
      <c r="B25" s="28">
        <v>25</v>
      </c>
      <c r="C25" s="28"/>
      <c r="D25" s="29">
        <f t="shared" si="0"/>
        <v>25</v>
      </c>
      <c r="E25" s="28"/>
      <c r="F25" s="28"/>
      <c r="G25" s="29">
        <f t="shared" si="1"/>
        <v>25</v>
      </c>
      <c r="H25" s="30">
        <v>70</v>
      </c>
      <c r="I25" s="19">
        <f t="shared" si="2"/>
        <v>1750</v>
      </c>
    </row>
    <row r="26" spans="1:9" x14ac:dyDescent="0.3">
      <c r="A26" s="28" t="s">
        <v>359</v>
      </c>
      <c r="B26" s="28">
        <v>25</v>
      </c>
      <c r="C26" s="28"/>
      <c r="D26" s="29">
        <f t="shared" si="0"/>
        <v>25</v>
      </c>
      <c r="E26" s="28"/>
      <c r="F26" s="28"/>
      <c r="G26" s="29">
        <f t="shared" si="1"/>
        <v>25</v>
      </c>
      <c r="H26" s="30">
        <v>100</v>
      </c>
      <c r="I26" s="19">
        <f t="shared" si="2"/>
        <v>2500</v>
      </c>
    </row>
    <row r="27" spans="1:9" x14ac:dyDescent="0.3">
      <c r="A27" s="28" t="s">
        <v>245</v>
      </c>
      <c r="B27" s="28">
        <v>50</v>
      </c>
      <c r="C27" s="28"/>
      <c r="D27" s="29">
        <v>105</v>
      </c>
      <c r="E27" s="28"/>
      <c r="F27" s="28"/>
      <c r="G27" s="29">
        <f t="shared" si="1"/>
        <v>105</v>
      </c>
      <c r="H27" s="30">
        <v>50</v>
      </c>
      <c r="I27" s="19">
        <f t="shared" si="2"/>
        <v>5250</v>
      </c>
    </row>
    <row r="28" spans="1:9" x14ac:dyDescent="0.3">
      <c r="A28" s="28" t="s">
        <v>391</v>
      </c>
      <c r="B28" s="28">
        <v>90</v>
      </c>
      <c r="C28" s="28"/>
      <c r="D28" s="29">
        <f t="shared" si="0"/>
        <v>90</v>
      </c>
      <c r="E28" s="28"/>
      <c r="F28" s="28"/>
      <c r="G28" s="29">
        <f t="shared" si="1"/>
        <v>90</v>
      </c>
      <c r="H28" s="30">
        <v>60</v>
      </c>
      <c r="I28" s="19">
        <f t="shared" si="2"/>
        <v>5400</v>
      </c>
    </row>
    <row r="29" spans="1:9" x14ac:dyDescent="0.3">
      <c r="A29" s="24" t="s">
        <v>8</v>
      </c>
      <c r="B29" s="28"/>
      <c r="C29" s="28"/>
      <c r="D29" s="29">
        <f t="shared" si="0"/>
        <v>0</v>
      </c>
      <c r="E29" s="28"/>
      <c r="F29" s="28"/>
      <c r="G29" s="29">
        <f t="shared" si="1"/>
        <v>0</v>
      </c>
      <c r="H29" s="30"/>
      <c r="I29" s="19">
        <f t="shared" si="2"/>
        <v>0</v>
      </c>
    </row>
    <row r="30" spans="1:9" x14ac:dyDescent="0.3">
      <c r="A30" s="28" t="s">
        <v>9</v>
      </c>
      <c r="B30" s="28"/>
      <c r="C30" s="28"/>
      <c r="D30" s="29">
        <f t="shared" si="0"/>
        <v>0</v>
      </c>
      <c r="E30" s="28"/>
      <c r="F30" s="28"/>
      <c r="G30" s="29">
        <f t="shared" si="1"/>
        <v>0</v>
      </c>
      <c r="H30" s="30">
        <v>6200</v>
      </c>
      <c r="I30" s="19">
        <f t="shared" si="2"/>
        <v>0</v>
      </c>
    </row>
    <row r="31" spans="1:9" x14ac:dyDescent="0.3">
      <c r="A31" s="28" t="s">
        <v>10</v>
      </c>
      <c r="B31" s="28">
        <v>5000</v>
      </c>
      <c r="C31" s="28"/>
      <c r="D31" s="29">
        <f t="shared" si="0"/>
        <v>5000</v>
      </c>
      <c r="E31" s="28"/>
      <c r="F31" s="28"/>
      <c r="G31" s="29">
        <f t="shared" si="1"/>
        <v>5000</v>
      </c>
      <c r="H31" s="30">
        <v>20</v>
      </c>
      <c r="I31" s="19">
        <f t="shared" si="2"/>
        <v>100000</v>
      </c>
    </row>
    <row r="32" spans="1:9" x14ac:dyDescent="0.3">
      <c r="A32" s="28" t="s">
        <v>216</v>
      </c>
      <c r="B32" s="28"/>
      <c r="C32" s="28"/>
      <c r="D32" s="29">
        <f t="shared" si="0"/>
        <v>0</v>
      </c>
      <c r="E32" s="28"/>
      <c r="F32" s="28"/>
      <c r="G32" s="29">
        <f t="shared" si="1"/>
        <v>0</v>
      </c>
      <c r="H32" s="30">
        <v>30</v>
      </c>
      <c r="I32" s="19">
        <f t="shared" si="2"/>
        <v>0</v>
      </c>
    </row>
    <row r="33" spans="1:9" x14ac:dyDescent="0.3">
      <c r="A33" s="28"/>
      <c r="B33" s="28"/>
      <c r="C33" s="28"/>
      <c r="D33" s="29">
        <f t="shared" si="0"/>
        <v>0</v>
      </c>
      <c r="E33" s="28"/>
      <c r="F33" s="28"/>
      <c r="G33" s="29">
        <f t="shared" si="1"/>
        <v>0</v>
      </c>
      <c r="H33" s="30"/>
      <c r="I33" s="19">
        <f t="shared" si="2"/>
        <v>0</v>
      </c>
    </row>
    <row r="34" spans="1:9" x14ac:dyDescent="0.3">
      <c r="A34" s="24" t="s">
        <v>11</v>
      </c>
      <c r="B34" s="28"/>
      <c r="C34" s="28"/>
      <c r="D34" s="29">
        <f t="shared" si="0"/>
        <v>0</v>
      </c>
      <c r="E34" s="28"/>
      <c r="F34" s="28"/>
      <c r="G34" s="29">
        <f t="shared" si="1"/>
        <v>0</v>
      </c>
      <c r="H34" s="30"/>
      <c r="I34" s="19">
        <f t="shared" si="2"/>
        <v>0</v>
      </c>
    </row>
    <row r="35" spans="1:9" x14ac:dyDescent="0.3">
      <c r="A35" s="28" t="s">
        <v>12</v>
      </c>
      <c r="B35" s="28">
        <v>1500</v>
      </c>
      <c r="C35" s="28"/>
      <c r="D35" s="29">
        <f t="shared" si="0"/>
        <v>1500</v>
      </c>
      <c r="E35" s="28"/>
      <c r="F35" s="28"/>
      <c r="G35" s="29">
        <f t="shared" si="1"/>
        <v>1500</v>
      </c>
      <c r="H35" s="30">
        <v>6</v>
      </c>
      <c r="I35" s="19">
        <f t="shared" si="2"/>
        <v>9000</v>
      </c>
    </row>
    <row r="36" spans="1:9" x14ac:dyDescent="0.3">
      <c r="A36" s="28" t="s">
        <v>13</v>
      </c>
      <c r="B36" s="28">
        <v>1500</v>
      </c>
      <c r="C36" s="28"/>
      <c r="D36" s="29">
        <f t="shared" si="0"/>
        <v>1500</v>
      </c>
      <c r="E36" s="28"/>
      <c r="F36" s="28"/>
      <c r="G36" s="29">
        <f t="shared" si="1"/>
        <v>1500</v>
      </c>
      <c r="H36" s="30">
        <v>6</v>
      </c>
      <c r="I36" s="19">
        <f t="shared" si="2"/>
        <v>9000</v>
      </c>
    </row>
    <row r="37" spans="1:9" x14ac:dyDescent="0.3">
      <c r="A37" s="28" t="s">
        <v>14</v>
      </c>
      <c r="B37" s="28">
        <v>3000</v>
      </c>
      <c r="C37" s="28"/>
      <c r="D37" s="29">
        <f t="shared" si="0"/>
        <v>3000</v>
      </c>
      <c r="E37" s="28"/>
      <c r="F37" s="28"/>
      <c r="G37" s="29">
        <f t="shared" si="1"/>
        <v>3000</v>
      </c>
      <c r="H37" s="30">
        <v>10</v>
      </c>
      <c r="I37" s="19">
        <f t="shared" si="2"/>
        <v>30000</v>
      </c>
    </row>
    <row r="38" spans="1:9" x14ac:dyDescent="0.3">
      <c r="A38" s="28" t="s">
        <v>282</v>
      </c>
      <c r="B38" s="28"/>
      <c r="C38" s="28"/>
      <c r="D38" s="29">
        <f t="shared" si="0"/>
        <v>0</v>
      </c>
      <c r="E38" s="28"/>
      <c r="F38" s="28"/>
      <c r="G38" s="29">
        <f t="shared" si="1"/>
        <v>0</v>
      </c>
      <c r="H38" s="30">
        <v>30</v>
      </c>
      <c r="I38" s="19">
        <f t="shared" si="2"/>
        <v>0</v>
      </c>
    </row>
    <row r="39" spans="1:9" x14ac:dyDescent="0.3">
      <c r="A39" s="28" t="s">
        <v>283</v>
      </c>
      <c r="B39" s="28">
        <v>20</v>
      </c>
      <c r="C39" s="28"/>
      <c r="D39" s="29">
        <f t="shared" si="0"/>
        <v>20</v>
      </c>
      <c r="E39" s="28"/>
      <c r="F39" s="28"/>
      <c r="G39" s="29">
        <f t="shared" si="1"/>
        <v>20</v>
      </c>
      <c r="H39" s="30">
        <v>50</v>
      </c>
      <c r="I39" s="19">
        <f t="shared" si="2"/>
        <v>1000</v>
      </c>
    </row>
    <row r="40" spans="1:9" x14ac:dyDescent="0.3">
      <c r="A40" s="28" t="s">
        <v>96</v>
      </c>
      <c r="B40" s="28">
        <v>10</v>
      </c>
      <c r="C40" s="28"/>
      <c r="D40" s="29">
        <f t="shared" si="0"/>
        <v>10</v>
      </c>
      <c r="E40" s="28"/>
      <c r="F40" s="28"/>
      <c r="G40" s="29">
        <f t="shared" si="1"/>
        <v>10</v>
      </c>
      <c r="H40" s="31">
        <v>700</v>
      </c>
      <c r="I40" s="19">
        <f t="shared" si="2"/>
        <v>7000</v>
      </c>
    </row>
    <row r="41" spans="1:9" x14ac:dyDescent="0.3">
      <c r="A41" s="28" t="s">
        <v>97</v>
      </c>
      <c r="B41" s="28">
        <v>6</v>
      </c>
      <c r="C41" s="28"/>
      <c r="D41" s="29">
        <f t="shared" si="0"/>
        <v>6</v>
      </c>
      <c r="E41" s="28"/>
      <c r="F41" s="28"/>
      <c r="G41" s="29">
        <f t="shared" si="1"/>
        <v>6</v>
      </c>
      <c r="H41" s="30">
        <v>820</v>
      </c>
      <c r="I41" s="19">
        <f t="shared" si="2"/>
        <v>4920</v>
      </c>
    </row>
    <row r="42" spans="1:9" x14ac:dyDescent="0.3">
      <c r="A42" s="28" t="s">
        <v>98</v>
      </c>
      <c r="B42" s="28">
        <v>15</v>
      </c>
      <c r="C42" s="28"/>
      <c r="D42" s="29">
        <f t="shared" si="0"/>
        <v>15</v>
      </c>
      <c r="E42" s="28"/>
      <c r="F42" s="28"/>
      <c r="G42" s="29">
        <f t="shared" si="1"/>
        <v>15</v>
      </c>
      <c r="H42" s="31">
        <v>900</v>
      </c>
      <c r="I42" s="19">
        <f t="shared" si="2"/>
        <v>13500</v>
      </c>
    </row>
    <row r="43" spans="1:9" x14ac:dyDescent="0.3">
      <c r="A43" s="28" t="s">
        <v>80</v>
      </c>
      <c r="B43" s="28"/>
      <c r="C43" s="28"/>
      <c r="D43" s="29">
        <f t="shared" si="0"/>
        <v>0</v>
      </c>
      <c r="E43" s="28"/>
      <c r="F43" s="28"/>
      <c r="G43" s="29">
        <f t="shared" si="1"/>
        <v>0</v>
      </c>
      <c r="H43" s="30">
        <v>2.5</v>
      </c>
      <c r="I43" s="19">
        <f t="shared" si="2"/>
        <v>0</v>
      </c>
    </row>
    <row r="44" spans="1:9" x14ac:dyDescent="0.3">
      <c r="A44" s="28" t="s">
        <v>93</v>
      </c>
      <c r="B44" s="28">
        <v>5</v>
      </c>
      <c r="C44" s="28"/>
      <c r="D44" s="29">
        <f t="shared" si="0"/>
        <v>5</v>
      </c>
      <c r="E44" s="28"/>
      <c r="F44" s="28"/>
      <c r="G44" s="29">
        <f t="shared" si="1"/>
        <v>5</v>
      </c>
      <c r="H44" s="30">
        <v>800</v>
      </c>
      <c r="I44" s="19">
        <f t="shared" si="2"/>
        <v>4000</v>
      </c>
    </row>
    <row r="45" spans="1:9" x14ac:dyDescent="0.3">
      <c r="A45" s="28" t="s">
        <v>134</v>
      </c>
      <c r="B45" s="28">
        <v>13</v>
      </c>
      <c r="C45" s="28"/>
      <c r="D45" s="29">
        <f t="shared" si="0"/>
        <v>13</v>
      </c>
      <c r="E45" s="28"/>
      <c r="F45" s="28"/>
      <c r="G45" s="29">
        <f t="shared" si="1"/>
        <v>13</v>
      </c>
      <c r="H45" s="30">
        <v>600</v>
      </c>
      <c r="I45" s="19">
        <f t="shared" si="2"/>
        <v>7800</v>
      </c>
    </row>
    <row r="46" spans="1:9" x14ac:dyDescent="0.3">
      <c r="A46" s="28" t="s">
        <v>135</v>
      </c>
      <c r="B46" s="28">
        <v>10</v>
      </c>
      <c r="C46" s="28"/>
      <c r="D46" s="29">
        <f t="shared" si="0"/>
        <v>10</v>
      </c>
      <c r="E46" s="28"/>
      <c r="F46" s="28"/>
      <c r="G46" s="29">
        <f t="shared" si="1"/>
        <v>10</v>
      </c>
      <c r="H46" s="30">
        <v>900</v>
      </c>
      <c r="I46" s="19">
        <f t="shared" si="2"/>
        <v>9000</v>
      </c>
    </row>
    <row r="47" spans="1:9" x14ac:dyDescent="0.3">
      <c r="A47" s="28" t="s">
        <v>363</v>
      </c>
      <c r="B47" s="28">
        <v>1</v>
      </c>
      <c r="C47" s="28"/>
      <c r="D47" s="29">
        <f t="shared" si="0"/>
        <v>1</v>
      </c>
      <c r="E47" s="28"/>
      <c r="F47" s="28"/>
      <c r="G47" s="29">
        <f t="shared" si="1"/>
        <v>1</v>
      </c>
      <c r="H47" s="30">
        <v>1700</v>
      </c>
      <c r="I47" s="19">
        <f t="shared" si="2"/>
        <v>1700</v>
      </c>
    </row>
    <row r="48" spans="1:9" x14ac:dyDescent="0.3">
      <c r="A48" s="28" t="s">
        <v>288</v>
      </c>
      <c r="B48" s="28"/>
      <c r="C48" s="28"/>
      <c r="D48" s="29">
        <f t="shared" si="0"/>
        <v>0</v>
      </c>
      <c r="E48" s="28"/>
      <c r="F48" s="28"/>
      <c r="G48" s="29">
        <f t="shared" si="1"/>
        <v>0</v>
      </c>
      <c r="H48" s="30">
        <v>2000</v>
      </c>
      <c r="I48" s="19">
        <f t="shared" si="2"/>
        <v>0</v>
      </c>
    </row>
    <row r="49" spans="1:9" x14ac:dyDescent="0.3">
      <c r="A49" s="28" t="s">
        <v>94</v>
      </c>
      <c r="B49" s="28"/>
      <c r="C49" s="28"/>
      <c r="D49" s="29">
        <f t="shared" si="0"/>
        <v>0</v>
      </c>
      <c r="E49" s="28"/>
      <c r="F49" s="28"/>
      <c r="G49" s="29">
        <f t="shared" si="1"/>
        <v>0</v>
      </c>
      <c r="H49" s="30">
        <v>400</v>
      </c>
      <c r="I49" s="19">
        <f t="shared" si="2"/>
        <v>0</v>
      </c>
    </row>
    <row r="50" spans="1:9" x14ac:dyDescent="0.3">
      <c r="A50" s="28" t="s">
        <v>289</v>
      </c>
      <c r="B50" s="28"/>
      <c r="C50" s="28"/>
      <c r="D50" s="29">
        <f t="shared" si="0"/>
        <v>0</v>
      </c>
      <c r="E50" s="28"/>
      <c r="F50" s="28"/>
      <c r="G50" s="29">
        <f t="shared" si="1"/>
        <v>0</v>
      </c>
      <c r="H50" s="30">
        <v>3000</v>
      </c>
      <c r="I50" s="19">
        <f t="shared" si="2"/>
        <v>0</v>
      </c>
    </row>
    <row r="51" spans="1:9" x14ac:dyDescent="0.3">
      <c r="A51" s="28" t="s">
        <v>177</v>
      </c>
      <c r="B51" s="28">
        <v>15</v>
      </c>
      <c r="C51" s="28"/>
      <c r="D51" s="29">
        <f t="shared" si="0"/>
        <v>15</v>
      </c>
      <c r="E51" s="28"/>
      <c r="F51" s="28"/>
      <c r="G51" s="29">
        <f t="shared" si="1"/>
        <v>15</v>
      </c>
      <c r="H51" s="30">
        <v>950</v>
      </c>
      <c r="I51" s="19">
        <f t="shared" si="2"/>
        <v>14250</v>
      </c>
    </row>
    <row r="52" spans="1:9" x14ac:dyDescent="0.3">
      <c r="A52" s="28" t="s">
        <v>178</v>
      </c>
      <c r="B52" s="28">
        <v>10</v>
      </c>
      <c r="C52" s="28"/>
      <c r="D52" s="29">
        <f t="shared" si="0"/>
        <v>10</v>
      </c>
      <c r="E52" s="28"/>
      <c r="F52" s="28"/>
      <c r="G52" s="29">
        <f t="shared" si="1"/>
        <v>10</v>
      </c>
      <c r="H52" s="30">
        <v>400</v>
      </c>
      <c r="I52" s="19">
        <f t="shared" si="2"/>
        <v>4000</v>
      </c>
    </row>
    <row r="53" spans="1:9" x14ac:dyDescent="0.3">
      <c r="A53" s="28" t="s">
        <v>206</v>
      </c>
      <c r="B53" s="28">
        <v>250</v>
      </c>
      <c r="C53" s="28"/>
      <c r="D53" s="29">
        <f t="shared" si="0"/>
        <v>250</v>
      </c>
      <c r="E53" s="28"/>
      <c r="F53" s="28"/>
      <c r="G53" s="29">
        <f t="shared" si="1"/>
        <v>250</v>
      </c>
      <c r="H53" s="30">
        <v>10</v>
      </c>
      <c r="I53" s="19">
        <f t="shared" si="2"/>
        <v>2500</v>
      </c>
    </row>
    <row r="54" spans="1:9" x14ac:dyDescent="0.3">
      <c r="A54" s="28" t="s">
        <v>238</v>
      </c>
      <c r="B54" s="28">
        <v>100</v>
      </c>
      <c r="C54" s="28"/>
      <c r="D54" s="29">
        <f t="shared" si="0"/>
        <v>100</v>
      </c>
      <c r="E54" s="28"/>
      <c r="F54" s="28"/>
      <c r="G54" s="29">
        <f t="shared" si="1"/>
        <v>100</v>
      </c>
      <c r="H54" s="30">
        <v>10</v>
      </c>
      <c r="I54" s="19">
        <f t="shared" si="2"/>
        <v>1000</v>
      </c>
    </row>
    <row r="55" spans="1:9" x14ac:dyDescent="0.3">
      <c r="A55" s="28" t="s">
        <v>152</v>
      </c>
      <c r="B55" s="28">
        <v>3</v>
      </c>
      <c r="C55" s="28"/>
      <c r="D55" s="29">
        <f t="shared" si="0"/>
        <v>3</v>
      </c>
      <c r="E55" s="28"/>
      <c r="F55" s="28"/>
      <c r="G55" s="29">
        <f t="shared" si="1"/>
        <v>3</v>
      </c>
      <c r="H55" s="30">
        <v>300</v>
      </c>
      <c r="I55" s="19">
        <f t="shared" si="2"/>
        <v>900</v>
      </c>
    </row>
    <row r="56" spans="1:9" x14ac:dyDescent="0.3">
      <c r="A56" s="28" t="s">
        <v>400</v>
      </c>
      <c r="B56" s="28">
        <v>3</v>
      </c>
      <c r="C56" s="28"/>
      <c r="D56" s="29">
        <f t="shared" si="0"/>
        <v>3</v>
      </c>
      <c r="E56" s="28"/>
      <c r="F56" s="28"/>
      <c r="G56" s="29">
        <f t="shared" si="1"/>
        <v>3</v>
      </c>
      <c r="H56" s="30">
        <v>1100</v>
      </c>
      <c r="I56" s="19">
        <f t="shared" si="2"/>
        <v>3300</v>
      </c>
    </row>
    <row r="57" spans="1:9" x14ac:dyDescent="0.3">
      <c r="A57" s="28" t="s">
        <v>401</v>
      </c>
      <c r="B57" s="28"/>
      <c r="C57" s="28"/>
      <c r="D57" s="29">
        <f t="shared" si="0"/>
        <v>0</v>
      </c>
      <c r="E57" s="28"/>
      <c r="F57" s="28"/>
      <c r="G57" s="29">
        <f t="shared" si="1"/>
        <v>0</v>
      </c>
      <c r="H57" s="30">
        <v>800</v>
      </c>
      <c r="I57" s="19">
        <f t="shared" si="2"/>
        <v>0</v>
      </c>
    </row>
    <row r="58" spans="1:9" x14ac:dyDescent="0.3">
      <c r="A58" s="28" t="s">
        <v>402</v>
      </c>
      <c r="B58" s="28">
        <v>2</v>
      </c>
      <c r="C58" s="28"/>
      <c r="D58" s="29">
        <f t="shared" si="0"/>
        <v>2</v>
      </c>
      <c r="E58" s="28"/>
      <c r="F58" s="28"/>
      <c r="G58" s="29">
        <f t="shared" si="1"/>
        <v>2</v>
      </c>
      <c r="H58" s="30">
        <v>1000</v>
      </c>
      <c r="I58" s="19">
        <f t="shared" si="2"/>
        <v>2000</v>
      </c>
    </row>
    <row r="59" spans="1:9" x14ac:dyDescent="0.3">
      <c r="A59" s="28" t="s">
        <v>403</v>
      </c>
      <c r="B59" s="28"/>
      <c r="C59" s="28"/>
      <c r="D59" s="29">
        <f t="shared" si="0"/>
        <v>0</v>
      </c>
      <c r="E59" s="28"/>
      <c r="F59" s="28"/>
      <c r="G59" s="29">
        <f t="shared" si="1"/>
        <v>0</v>
      </c>
      <c r="H59" s="30">
        <v>1000</v>
      </c>
      <c r="I59" s="19">
        <f t="shared" si="2"/>
        <v>0</v>
      </c>
    </row>
    <row r="60" spans="1:9" x14ac:dyDescent="0.3">
      <c r="A60" s="28" t="s">
        <v>404</v>
      </c>
      <c r="B60" s="28"/>
      <c r="C60" s="28"/>
      <c r="D60" s="29">
        <f t="shared" si="0"/>
        <v>0</v>
      </c>
      <c r="E60" s="28"/>
      <c r="F60" s="28"/>
      <c r="G60" s="29">
        <f t="shared" si="1"/>
        <v>0</v>
      </c>
      <c r="H60" s="30">
        <v>1300</v>
      </c>
      <c r="I60" s="19">
        <f t="shared" si="2"/>
        <v>0</v>
      </c>
    </row>
    <row r="61" spans="1:9" x14ac:dyDescent="0.3">
      <c r="A61" s="28" t="s">
        <v>405</v>
      </c>
      <c r="B61" s="28"/>
      <c r="C61" s="28"/>
      <c r="D61" s="29">
        <f t="shared" si="0"/>
        <v>0</v>
      </c>
      <c r="E61" s="28"/>
      <c r="F61" s="28"/>
      <c r="G61" s="29">
        <f t="shared" si="1"/>
        <v>0</v>
      </c>
      <c r="H61" s="30">
        <v>1100</v>
      </c>
      <c r="I61" s="19">
        <f t="shared" si="2"/>
        <v>0</v>
      </c>
    </row>
    <row r="62" spans="1:9" x14ac:dyDescent="0.3">
      <c r="A62" s="28" t="s">
        <v>414</v>
      </c>
      <c r="B62" s="28"/>
      <c r="C62" s="28"/>
      <c r="D62" s="29">
        <f t="shared" si="0"/>
        <v>0</v>
      </c>
      <c r="E62" s="28"/>
      <c r="F62" s="28"/>
      <c r="G62" s="29">
        <f t="shared" si="1"/>
        <v>0</v>
      </c>
      <c r="H62" s="30"/>
      <c r="I62" s="19">
        <f t="shared" si="2"/>
        <v>0</v>
      </c>
    </row>
    <row r="63" spans="1:9" x14ac:dyDescent="0.3">
      <c r="A63" s="28" t="s">
        <v>254</v>
      </c>
      <c r="B63" s="28">
        <v>10</v>
      </c>
      <c r="C63" s="28"/>
      <c r="D63" s="29">
        <f t="shared" si="0"/>
        <v>10</v>
      </c>
      <c r="E63" s="28"/>
      <c r="F63" s="28"/>
      <c r="G63" s="29">
        <f t="shared" si="1"/>
        <v>10</v>
      </c>
      <c r="H63" s="30">
        <v>500</v>
      </c>
      <c r="I63" s="19">
        <f t="shared" si="2"/>
        <v>5000</v>
      </c>
    </row>
    <row r="64" spans="1:9" x14ac:dyDescent="0.3">
      <c r="A64" s="28" t="s">
        <v>396</v>
      </c>
      <c r="B64" s="28">
        <v>3</v>
      </c>
      <c r="C64" s="28"/>
      <c r="D64" s="29">
        <f t="shared" si="0"/>
        <v>3</v>
      </c>
      <c r="E64" s="28"/>
      <c r="F64" s="28"/>
      <c r="G64" s="29">
        <f t="shared" si="1"/>
        <v>3</v>
      </c>
      <c r="H64" s="31">
        <v>800</v>
      </c>
      <c r="I64" s="19">
        <f t="shared" si="2"/>
        <v>2400</v>
      </c>
    </row>
    <row r="65" spans="1:9" x14ac:dyDescent="0.3">
      <c r="A65" s="28" t="s">
        <v>255</v>
      </c>
      <c r="B65" s="28">
        <v>2</v>
      </c>
      <c r="C65" s="28"/>
      <c r="D65" s="29">
        <f t="shared" si="0"/>
        <v>2</v>
      </c>
      <c r="E65" s="28"/>
      <c r="F65" s="28"/>
      <c r="G65" s="29">
        <f t="shared" si="1"/>
        <v>2</v>
      </c>
      <c r="H65" s="30">
        <v>200</v>
      </c>
      <c r="I65" s="19">
        <f t="shared" si="2"/>
        <v>400</v>
      </c>
    </row>
    <row r="66" spans="1:9" x14ac:dyDescent="0.3">
      <c r="A66" s="28" t="s">
        <v>256</v>
      </c>
      <c r="B66" s="28"/>
      <c r="C66" s="28"/>
      <c r="D66" s="29">
        <f t="shared" si="0"/>
        <v>0</v>
      </c>
      <c r="E66" s="28"/>
      <c r="F66" s="28"/>
      <c r="G66" s="29">
        <f t="shared" si="1"/>
        <v>0</v>
      </c>
      <c r="H66" s="30">
        <v>850</v>
      </c>
      <c r="I66" s="19">
        <f t="shared" si="2"/>
        <v>0</v>
      </c>
    </row>
    <row r="67" spans="1:9" x14ac:dyDescent="0.3">
      <c r="A67" s="28" t="s">
        <v>273</v>
      </c>
      <c r="B67" s="28"/>
      <c r="C67" s="28"/>
      <c r="D67" s="29">
        <f t="shared" si="0"/>
        <v>0</v>
      </c>
      <c r="E67" s="28"/>
      <c r="F67" s="28"/>
      <c r="G67" s="29">
        <f t="shared" si="1"/>
        <v>0</v>
      </c>
      <c r="H67" s="30">
        <v>750</v>
      </c>
      <c r="I67" s="19">
        <f t="shared" si="2"/>
        <v>0</v>
      </c>
    </row>
    <row r="68" spans="1:9" x14ac:dyDescent="0.3">
      <c r="A68" s="28" t="s">
        <v>274</v>
      </c>
      <c r="B68" s="28"/>
      <c r="C68" s="28"/>
      <c r="D68" s="29">
        <f t="shared" si="0"/>
        <v>0</v>
      </c>
      <c r="E68" s="28"/>
      <c r="F68" s="28"/>
      <c r="G68" s="29">
        <f t="shared" si="1"/>
        <v>0</v>
      </c>
      <c r="H68" s="30">
        <v>290</v>
      </c>
      <c r="I68" s="19">
        <f t="shared" si="2"/>
        <v>0</v>
      </c>
    </row>
    <row r="69" spans="1:9" x14ac:dyDescent="0.3">
      <c r="A69" s="28" t="s">
        <v>284</v>
      </c>
      <c r="B69" s="28"/>
      <c r="C69" s="28"/>
      <c r="D69" s="29">
        <f t="shared" si="0"/>
        <v>0</v>
      </c>
      <c r="E69" s="28"/>
      <c r="F69" s="28"/>
      <c r="G69" s="29">
        <f t="shared" si="1"/>
        <v>0</v>
      </c>
      <c r="H69" s="30">
        <v>600</v>
      </c>
      <c r="I69" s="19">
        <f t="shared" si="2"/>
        <v>0</v>
      </c>
    </row>
    <row r="70" spans="1:9" x14ac:dyDescent="0.3">
      <c r="A70" s="28" t="s">
        <v>275</v>
      </c>
      <c r="B70" s="28"/>
      <c r="C70" s="28"/>
      <c r="D70" s="29">
        <f t="shared" si="0"/>
        <v>0</v>
      </c>
      <c r="E70" s="28"/>
      <c r="F70" s="28"/>
      <c r="G70" s="29">
        <f t="shared" si="1"/>
        <v>0</v>
      </c>
      <c r="H70" s="30">
        <v>1300</v>
      </c>
      <c r="I70" s="19">
        <f t="shared" si="2"/>
        <v>0</v>
      </c>
    </row>
    <row r="71" spans="1:9" x14ac:dyDescent="0.3">
      <c r="A71" s="28" t="s">
        <v>390</v>
      </c>
      <c r="B71" s="28"/>
      <c r="C71" s="28"/>
      <c r="D71" s="29">
        <f t="shared" si="0"/>
        <v>0</v>
      </c>
      <c r="E71" s="28"/>
      <c r="F71" s="28"/>
      <c r="G71" s="29">
        <f t="shared" si="1"/>
        <v>0</v>
      </c>
      <c r="H71" s="30">
        <v>580</v>
      </c>
      <c r="I71" s="19">
        <f t="shared" si="2"/>
        <v>0</v>
      </c>
    </row>
    <row r="72" spans="1:9" x14ac:dyDescent="0.3">
      <c r="A72" s="28" t="s">
        <v>290</v>
      </c>
      <c r="B72" s="28">
        <v>5</v>
      </c>
      <c r="C72" s="28"/>
      <c r="D72" s="29">
        <f t="shared" si="0"/>
        <v>5</v>
      </c>
      <c r="E72" s="28"/>
      <c r="F72" s="28"/>
      <c r="G72" s="29">
        <f t="shared" si="1"/>
        <v>5</v>
      </c>
      <c r="H72" s="30">
        <v>2300</v>
      </c>
      <c r="I72" s="19">
        <f t="shared" si="2"/>
        <v>11500</v>
      </c>
    </row>
    <row r="73" spans="1:9" x14ac:dyDescent="0.3">
      <c r="A73" s="28" t="s">
        <v>291</v>
      </c>
      <c r="B73" s="28"/>
      <c r="C73" s="28"/>
      <c r="D73" s="29">
        <f t="shared" si="0"/>
        <v>0</v>
      </c>
      <c r="E73" s="28"/>
      <c r="F73" s="28"/>
      <c r="G73" s="29">
        <f t="shared" si="1"/>
        <v>0</v>
      </c>
      <c r="H73" s="30">
        <v>450</v>
      </c>
      <c r="I73" s="19">
        <f t="shared" si="2"/>
        <v>0</v>
      </c>
    </row>
    <row r="74" spans="1:9" x14ac:dyDescent="0.3">
      <c r="A74" s="28" t="s">
        <v>300</v>
      </c>
      <c r="B74" s="28"/>
      <c r="C74" s="28"/>
      <c r="D74" s="29">
        <f t="shared" si="0"/>
        <v>0</v>
      </c>
      <c r="E74" s="28"/>
      <c r="F74" s="28"/>
      <c r="G74" s="29">
        <f t="shared" si="1"/>
        <v>0</v>
      </c>
      <c r="H74" s="30">
        <v>950</v>
      </c>
      <c r="I74" s="19">
        <f t="shared" si="2"/>
        <v>0</v>
      </c>
    </row>
    <row r="75" spans="1:9" x14ac:dyDescent="0.3">
      <c r="A75" s="28" t="s">
        <v>353</v>
      </c>
      <c r="B75" s="28">
        <v>6</v>
      </c>
      <c r="C75" s="28"/>
      <c r="D75" s="29">
        <f t="shared" si="0"/>
        <v>6</v>
      </c>
      <c r="E75" s="28"/>
      <c r="F75" s="28"/>
      <c r="G75" s="29">
        <f t="shared" si="1"/>
        <v>6</v>
      </c>
      <c r="H75" s="30">
        <v>3200</v>
      </c>
      <c r="I75" s="19">
        <f t="shared" si="2"/>
        <v>19200</v>
      </c>
    </row>
    <row r="76" spans="1:9" x14ac:dyDescent="0.3">
      <c r="A76" s="28" t="s">
        <v>354</v>
      </c>
      <c r="B76" s="28"/>
      <c r="C76" s="28"/>
      <c r="D76" s="29">
        <f t="shared" si="0"/>
        <v>0</v>
      </c>
      <c r="E76" s="28"/>
      <c r="F76" s="28"/>
      <c r="G76" s="29">
        <f t="shared" si="1"/>
        <v>0</v>
      </c>
      <c r="H76" s="30">
        <v>1000</v>
      </c>
      <c r="I76" s="19">
        <f t="shared" si="2"/>
        <v>0</v>
      </c>
    </row>
    <row r="77" spans="1:9" x14ac:dyDescent="0.3">
      <c r="A77" s="28" t="s">
        <v>364</v>
      </c>
      <c r="B77" s="28">
        <v>4</v>
      </c>
      <c r="C77" s="28"/>
      <c r="D77" s="29">
        <f t="shared" si="0"/>
        <v>4</v>
      </c>
      <c r="E77" s="28"/>
      <c r="F77" s="28"/>
      <c r="G77" s="29">
        <f t="shared" si="1"/>
        <v>4</v>
      </c>
      <c r="H77" s="30">
        <v>1800</v>
      </c>
      <c r="I77" s="19">
        <f t="shared" si="2"/>
        <v>7200</v>
      </c>
    </row>
    <row r="78" spans="1:9" x14ac:dyDescent="0.3">
      <c r="A78" s="28" t="s">
        <v>392</v>
      </c>
      <c r="B78" s="28"/>
      <c r="C78" s="28"/>
      <c r="D78" s="29">
        <f t="shared" si="0"/>
        <v>0</v>
      </c>
      <c r="E78" s="28"/>
      <c r="F78" s="28"/>
      <c r="G78" s="29">
        <f t="shared" si="1"/>
        <v>0</v>
      </c>
      <c r="H78" s="30">
        <v>400</v>
      </c>
      <c r="I78" s="19">
        <f t="shared" si="2"/>
        <v>0</v>
      </c>
    </row>
    <row r="79" spans="1:9" x14ac:dyDescent="0.3">
      <c r="A79" s="28" t="s">
        <v>389</v>
      </c>
      <c r="B79" s="28">
        <v>1</v>
      </c>
      <c r="C79" s="28"/>
      <c r="D79" s="29">
        <f t="shared" si="0"/>
        <v>1</v>
      </c>
      <c r="E79" s="28"/>
      <c r="F79" s="28"/>
      <c r="G79" s="29">
        <f t="shared" si="1"/>
        <v>1</v>
      </c>
      <c r="H79" s="30">
        <v>1400</v>
      </c>
      <c r="I79" s="19">
        <f t="shared" si="2"/>
        <v>1400</v>
      </c>
    </row>
    <row r="80" spans="1:9" x14ac:dyDescent="0.3">
      <c r="A80" s="28" t="s">
        <v>393</v>
      </c>
      <c r="B80" s="28"/>
      <c r="C80" s="28"/>
      <c r="D80" s="29">
        <f t="shared" si="0"/>
        <v>0</v>
      </c>
      <c r="E80" s="28"/>
      <c r="F80" s="28"/>
      <c r="G80" s="29">
        <f t="shared" si="1"/>
        <v>0</v>
      </c>
      <c r="H80" s="30">
        <v>1000</v>
      </c>
      <c r="I80" s="19">
        <f t="shared" si="2"/>
        <v>0</v>
      </c>
    </row>
    <row r="81" spans="1:9" x14ac:dyDescent="0.3">
      <c r="A81" s="28"/>
      <c r="B81" s="28"/>
      <c r="C81" s="28"/>
      <c r="D81" s="29"/>
      <c r="E81" s="28"/>
      <c r="F81" s="28"/>
      <c r="G81" s="29"/>
      <c r="H81" s="30"/>
      <c r="I81" s="19"/>
    </row>
    <row r="82" spans="1:9" x14ac:dyDescent="0.3">
      <c r="A82" s="24" t="s">
        <v>15</v>
      </c>
      <c r="B82" s="28"/>
      <c r="C82" s="28"/>
      <c r="D82" s="29">
        <f t="shared" si="0"/>
        <v>0</v>
      </c>
      <c r="E82" s="28"/>
      <c r="F82" s="28"/>
      <c r="G82" s="29">
        <f t="shared" si="1"/>
        <v>0</v>
      </c>
      <c r="H82" s="30"/>
      <c r="I82" s="19">
        <f t="shared" si="2"/>
        <v>0</v>
      </c>
    </row>
    <row r="83" spans="1:9" x14ac:dyDescent="0.3">
      <c r="A83" s="28" t="s">
        <v>16</v>
      </c>
      <c r="B83" s="28"/>
      <c r="C83" s="28"/>
      <c r="D83" s="29">
        <f t="shared" si="0"/>
        <v>0</v>
      </c>
      <c r="E83" s="28"/>
      <c r="F83" s="28"/>
      <c r="G83" s="29">
        <f t="shared" si="1"/>
        <v>0</v>
      </c>
      <c r="H83" s="30">
        <v>9</v>
      </c>
      <c r="I83" s="19">
        <f t="shared" si="2"/>
        <v>0</v>
      </c>
    </row>
    <row r="84" spans="1:9" x14ac:dyDescent="0.3">
      <c r="A84" s="28" t="s">
        <v>266</v>
      </c>
      <c r="B84" s="28">
        <v>4000</v>
      </c>
      <c r="C84" s="28"/>
      <c r="D84" s="29">
        <f t="shared" si="0"/>
        <v>4000</v>
      </c>
      <c r="E84" s="28"/>
      <c r="F84" s="28"/>
      <c r="G84" s="29">
        <f t="shared" si="1"/>
        <v>4000</v>
      </c>
      <c r="H84" s="30">
        <v>10</v>
      </c>
      <c r="I84" s="19">
        <f t="shared" si="2"/>
        <v>40000</v>
      </c>
    </row>
    <row r="85" spans="1:9" x14ac:dyDescent="0.3">
      <c r="A85" s="28" t="s">
        <v>208</v>
      </c>
      <c r="B85" s="28"/>
      <c r="C85" s="28"/>
      <c r="D85" s="29">
        <f t="shared" si="0"/>
        <v>0</v>
      </c>
      <c r="E85" s="28"/>
      <c r="F85" s="28"/>
      <c r="G85" s="29">
        <f t="shared" si="1"/>
        <v>0</v>
      </c>
      <c r="H85" s="30">
        <v>9</v>
      </c>
      <c r="I85" s="19">
        <f t="shared" si="2"/>
        <v>0</v>
      </c>
    </row>
    <row r="86" spans="1:9" x14ac:dyDescent="0.3">
      <c r="A86" s="28" t="s">
        <v>17</v>
      </c>
      <c r="B86" s="28">
        <v>30</v>
      </c>
      <c r="C86" s="28"/>
      <c r="D86" s="29">
        <f t="shared" si="0"/>
        <v>30</v>
      </c>
      <c r="E86" s="28"/>
      <c r="F86" s="28"/>
      <c r="G86" s="29">
        <f t="shared" si="1"/>
        <v>30</v>
      </c>
      <c r="H86" s="30">
        <v>500</v>
      </c>
      <c r="I86" s="19">
        <f t="shared" si="2"/>
        <v>15000</v>
      </c>
    </row>
    <row r="87" spans="1:9" x14ac:dyDescent="0.3">
      <c r="A87" s="28" t="s">
        <v>18</v>
      </c>
      <c r="B87" s="28"/>
      <c r="C87" s="28"/>
      <c r="D87" s="29">
        <f t="shared" si="0"/>
        <v>0</v>
      </c>
      <c r="E87" s="28"/>
      <c r="F87" s="28"/>
      <c r="G87" s="29">
        <f t="shared" si="1"/>
        <v>0</v>
      </c>
      <c r="H87" s="30"/>
      <c r="I87" s="19">
        <f t="shared" si="2"/>
        <v>0</v>
      </c>
    </row>
    <row r="88" spans="1:9" x14ac:dyDescent="0.3">
      <c r="A88" s="28" t="s">
        <v>19</v>
      </c>
      <c r="B88" s="28">
        <v>3000</v>
      </c>
      <c r="C88" s="28"/>
      <c r="D88" s="29">
        <f t="shared" si="0"/>
        <v>3000</v>
      </c>
      <c r="E88" s="28"/>
      <c r="F88" s="28"/>
      <c r="G88" s="29">
        <f t="shared" si="1"/>
        <v>3000</v>
      </c>
      <c r="H88" s="30">
        <v>7.5</v>
      </c>
      <c r="I88" s="19">
        <f t="shared" si="2"/>
        <v>22500</v>
      </c>
    </row>
    <row r="89" spans="1:9" x14ac:dyDescent="0.3">
      <c r="A89" s="28" t="s">
        <v>267</v>
      </c>
      <c r="B89" s="28"/>
      <c r="C89" s="28"/>
      <c r="D89" s="29">
        <f t="shared" si="0"/>
        <v>0</v>
      </c>
      <c r="E89" s="28"/>
      <c r="F89" s="28"/>
      <c r="G89" s="29">
        <f t="shared" si="1"/>
        <v>0</v>
      </c>
      <c r="H89" s="30">
        <v>20</v>
      </c>
      <c r="I89" s="19">
        <f t="shared" si="2"/>
        <v>0</v>
      </c>
    </row>
    <row r="90" spans="1:9" x14ac:dyDescent="0.3">
      <c r="A90" s="28" t="s">
        <v>86</v>
      </c>
      <c r="B90" s="28">
        <v>5</v>
      </c>
      <c r="C90" s="28"/>
      <c r="D90" s="29">
        <f t="shared" si="0"/>
        <v>5</v>
      </c>
      <c r="E90" s="28"/>
      <c r="F90" s="28"/>
      <c r="G90" s="29">
        <f t="shared" si="1"/>
        <v>5</v>
      </c>
      <c r="H90" s="31">
        <v>500</v>
      </c>
      <c r="I90" s="19">
        <f t="shared" si="2"/>
        <v>2500</v>
      </c>
    </row>
    <row r="91" spans="1:9" x14ac:dyDescent="0.3">
      <c r="A91" s="28" t="s">
        <v>87</v>
      </c>
      <c r="B91" s="28">
        <v>50</v>
      </c>
      <c r="C91" s="28"/>
      <c r="D91" s="29">
        <v>50</v>
      </c>
      <c r="E91" s="28"/>
      <c r="F91" s="28"/>
      <c r="G91" s="29">
        <f t="shared" si="1"/>
        <v>50</v>
      </c>
      <c r="H91" s="31">
        <v>200</v>
      </c>
      <c r="I91" s="19">
        <f t="shared" si="2"/>
        <v>10000</v>
      </c>
    </row>
    <row r="92" spans="1:9" x14ac:dyDescent="0.3">
      <c r="A92" s="28" t="s">
        <v>85</v>
      </c>
      <c r="B92" s="28"/>
      <c r="C92" s="28"/>
      <c r="D92" s="29">
        <f t="shared" si="0"/>
        <v>0</v>
      </c>
      <c r="E92" s="28"/>
      <c r="F92" s="28"/>
      <c r="G92" s="29">
        <f t="shared" si="1"/>
        <v>0</v>
      </c>
      <c r="H92" s="32">
        <v>400</v>
      </c>
      <c r="I92" s="19">
        <f t="shared" si="2"/>
        <v>0</v>
      </c>
    </row>
    <row r="93" spans="1:9" x14ac:dyDescent="0.3">
      <c r="A93" s="28" t="s">
        <v>88</v>
      </c>
      <c r="B93" s="28">
        <v>1</v>
      </c>
      <c r="C93" s="28"/>
      <c r="D93" s="29">
        <f t="shared" si="0"/>
        <v>1</v>
      </c>
      <c r="E93" s="28"/>
      <c r="F93" s="28"/>
      <c r="G93" s="29">
        <f t="shared" si="1"/>
        <v>1</v>
      </c>
      <c r="H93" s="32">
        <v>1000</v>
      </c>
      <c r="I93" s="19">
        <f t="shared" si="2"/>
        <v>1000</v>
      </c>
    </row>
    <row r="94" spans="1:9" x14ac:dyDescent="0.3">
      <c r="A94" s="28" t="s">
        <v>89</v>
      </c>
      <c r="B94" s="28">
        <v>10</v>
      </c>
      <c r="C94" s="28"/>
      <c r="D94" s="29">
        <f t="shared" si="0"/>
        <v>10</v>
      </c>
      <c r="E94" s="28"/>
      <c r="F94" s="28"/>
      <c r="G94" s="29">
        <f t="shared" si="1"/>
        <v>10</v>
      </c>
      <c r="H94" s="32">
        <v>700</v>
      </c>
      <c r="I94" s="19">
        <f t="shared" si="2"/>
        <v>7000</v>
      </c>
    </row>
    <row r="95" spans="1:9" x14ac:dyDescent="0.3">
      <c r="A95" s="28" t="s">
        <v>90</v>
      </c>
      <c r="B95" s="28">
        <v>8</v>
      </c>
      <c r="C95" s="28"/>
      <c r="D95" s="29">
        <f t="shared" si="0"/>
        <v>8</v>
      </c>
      <c r="E95" s="28"/>
      <c r="F95" s="28"/>
      <c r="G95" s="29">
        <f t="shared" si="1"/>
        <v>8</v>
      </c>
      <c r="H95" s="30">
        <v>350</v>
      </c>
      <c r="I95" s="19">
        <f t="shared" si="2"/>
        <v>2800</v>
      </c>
    </row>
    <row r="96" spans="1:9" x14ac:dyDescent="0.3">
      <c r="A96" s="28" t="s">
        <v>99</v>
      </c>
      <c r="B96" s="28">
        <v>20</v>
      </c>
      <c r="C96" s="28"/>
      <c r="D96" s="29">
        <f t="shared" si="0"/>
        <v>20</v>
      </c>
      <c r="E96" s="28"/>
      <c r="F96" s="28"/>
      <c r="G96" s="29">
        <f t="shared" si="1"/>
        <v>20</v>
      </c>
      <c r="H96" s="32">
        <v>150</v>
      </c>
      <c r="I96" s="19">
        <f t="shared" si="2"/>
        <v>3000</v>
      </c>
    </row>
    <row r="97" spans="1:9" x14ac:dyDescent="0.3">
      <c r="A97" s="28" t="s">
        <v>117</v>
      </c>
      <c r="B97" s="28">
        <v>4</v>
      </c>
      <c r="C97" s="28"/>
      <c r="D97" s="29">
        <f t="shared" ref="D97:D173" si="3">B97+C97</f>
        <v>4</v>
      </c>
      <c r="E97" s="28"/>
      <c r="F97" s="28"/>
      <c r="G97" s="29">
        <f t="shared" si="1"/>
        <v>4</v>
      </c>
      <c r="H97" s="30">
        <v>600</v>
      </c>
      <c r="I97" s="19">
        <f t="shared" si="2"/>
        <v>2400</v>
      </c>
    </row>
    <row r="98" spans="1:9" x14ac:dyDescent="0.3">
      <c r="A98" s="28" t="s">
        <v>150</v>
      </c>
      <c r="B98" s="28">
        <v>7</v>
      </c>
      <c r="C98" s="28"/>
      <c r="D98" s="29">
        <f t="shared" si="3"/>
        <v>7</v>
      </c>
      <c r="E98" s="28"/>
      <c r="F98" s="28"/>
      <c r="G98" s="29">
        <f t="shared" si="1"/>
        <v>7</v>
      </c>
      <c r="H98" s="30">
        <v>900</v>
      </c>
      <c r="I98" s="19">
        <f t="shared" si="2"/>
        <v>6300</v>
      </c>
    </row>
    <row r="99" spans="1:9" x14ac:dyDescent="0.3">
      <c r="A99" s="28" t="s">
        <v>217</v>
      </c>
      <c r="B99" s="28"/>
      <c r="C99" s="28"/>
      <c r="D99" s="29">
        <f t="shared" si="3"/>
        <v>0</v>
      </c>
      <c r="E99" s="28"/>
      <c r="F99" s="28"/>
      <c r="G99" s="29">
        <f t="shared" si="1"/>
        <v>0</v>
      </c>
      <c r="H99" s="30">
        <v>380</v>
      </c>
      <c r="I99" s="19">
        <f t="shared" si="2"/>
        <v>0</v>
      </c>
    </row>
    <row r="100" spans="1:9" x14ac:dyDescent="0.3">
      <c r="A100" s="28" t="s">
        <v>355</v>
      </c>
      <c r="B100" s="28"/>
      <c r="C100" s="28"/>
      <c r="D100" s="29">
        <f t="shared" si="3"/>
        <v>0</v>
      </c>
      <c r="E100" s="28"/>
      <c r="F100" s="28"/>
      <c r="G100" s="29">
        <f t="shared" si="1"/>
        <v>0</v>
      </c>
      <c r="H100" s="30">
        <v>1800</v>
      </c>
      <c r="I100" s="19">
        <f t="shared" si="2"/>
        <v>0</v>
      </c>
    </row>
    <row r="101" spans="1:9" x14ac:dyDescent="0.3">
      <c r="A101" s="28" t="s">
        <v>247</v>
      </c>
      <c r="B101" s="28"/>
      <c r="C101" s="28"/>
      <c r="D101" s="29">
        <f t="shared" si="3"/>
        <v>0</v>
      </c>
      <c r="E101" s="28"/>
      <c r="F101" s="28"/>
      <c r="G101" s="29">
        <f t="shared" si="1"/>
        <v>0</v>
      </c>
      <c r="H101" s="30">
        <v>550</v>
      </c>
      <c r="I101" s="19">
        <f t="shared" si="2"/>
        <v>0</v>
      </c>
    </row>
    <row r="102" spans="1:9" x14ac:dyDescent="0.3">
      <c r="A102" s="28" t="s">
        <v>257</v>
      </c>
      <c r="B102" s="28"/>
      <c r="C102" s="28"/>
      <c r="D102" s="29">
        <f t="shared" si="3"/>
        <v>0</v>
      </c>
      <c r="E102" s="28"/>
      <c r="F102" s="28"/>
      <c r="G102" s="29">
        <f t="shared" si="1"/>
        <v>0</v>
      </c>
      <c r="H102" s="30">
        <v>500</v>
      </c>
      <c r="I102" s="19">
        <f t="shared" si="2"/>
        <v>0</v>
      </c>
    </row>
    <row r="103" spans="1:9" x14ac:dyDescent="0.3">
      <c r="A103" s="28" t="s">
        <v>265</v>
      </c>
      <c r="B103" s="28">
        <v>30</v>
      </c>
      <c r="C103" s="28"/>
      <c r="D103" s="29">
        <f t="shared" si="3"/>
        <v>30</v>
      </c>
      <c r="E103" s="28"/>
      <c r="F103" s="28"/>
      <c r="G103" s="29">
        <f t="shared" si="1"/>
        <v>30</v>
      </c>
      <c r="H103" s="30">
        <v>750</v>
      </c>
      <c r="I103" s="19">
        <f t="shared" si="2"/>
        <v>22500</v>
      </c>
    </row>
    <row r="104" spans="1:9" x14ac:dyDescent="0.3">
      <c r="A104" s="28" t="s">
        <v>292</v>
      </c>
      <c r="B104" s="28">
        <v>10</v>
      </c>
      <c r="C104" s="28"/>
      <c r="D104" s="29">
        <f t="shared" si="3"/>
        <v>10</v>
      </c>
      <c r="E104" s="28"/>
      <c r="F104" s="28"/>
      <c r="G104" s="29">
        <f t="shared" si="1"/>
        <v>10</v>
      </c>
      <c r="H104" s="30">
        <v>160</v>
      </c>
      <c r="I104" s="19">
        <f t="shared" si="2"/>
        <v>1600</v>
      </c>
    </row>
    <row r="105" spans="1:9" x14ac:dyDescent="0.3">
      <c r="A105" s="28" t="s">
        <v>301</v>
      </c>
      <c r="B105" s="28"/>
      <c r="C105" s="28"/>
      <c r="D105" s="29">
        <f t="shared" si="3"/>
        <v>0</v>
      </c>
      <c r="E105" s="28"/>
      <c r="F105" s="28"/>
      <c r="G105" s="29">
        <f t="shared" si="1"/>
        <v>0</v>
      </c>
      <c r="H105" s="30">
        <v>335</v>
      </c>
      <c r="I105" s="19">
        <f t="shared" si="2"/>
        <v>0</v>
      </c>
    </row>
    <row r="106" spans="1:9" x14ac:dyDescent="0.3">
      <c r="A106" s="28" t="s">
        <v>316</v>
      </c>
      <c r="B106" s="28"/>
      <c r="C106" s="28"/>
      <c r="D106" s="29">
        <f t="shared" si="3"/>
        <v>0</v>
      </c>
      <c r="E106" s="28"/>
      <c r="F106" s="28"/>
      <c r="G106" s="29">
        <f t="shared" si="1"/>
        <v>0</v>
      </c>
      <c r="H106" s="30">
        <v>150</v>
      </c>
      <c r="I106" s="19">
        <f t="shared" si="2"/>
        <v>0</v>
      </c>
    </row>
    <row r="107" spans="1:9" x14ac:dyDescent="0.3">
      <c r="A107" s="28" t="s">
        <v>336</v>
      </c>
      <c r="B107" s="28"/>
      <c r="C107" s="28"/>
      <c r="D107" s="29">
        <f t="shared" si="3"/>
        <v>0</v>
      </c>
      <c r="E107" s="28"/>
      <c r="F107" s="28"/>
      <c r="G107" s="29">
        <f t="shared" si="1"/>
        <v>0</v>
      </c>
      <c r="H107" s="30">
        <v>270</v>
      </c>
      <c r="I107" s="19">
        <f t="shared" si="2"/>
        <v>0</v>
      </c>
    </row>
    <row r="108" spans="1:9" x14ac:dyDescent="0.3">
      <c r="A108" s="28" t="s">
        <v>323</v>
      </c>
      <c r="B108" s="28"/>
      <c r="C108" s="28"/>
      <c r="D108" s="29">
        <f t="shared" si="3"/>
        <v>0</v>
      </c>
      <c r="E108" s="28"/>
      <c r="F108" s="28"/>
      <c r="G108" s="29">
        <f t="shared" si="1"/>
        <v>0</v>
      </c>
      <c r="H108" s="30">
        <v>550</v>
      </c>
      <c r="I108" s="19">
        <f t="shared" si="2"/>
        <v>0</v>
      </c>
    </row>
    <row r="109" spans="1:9" x14ac:dyDescent="0.3">
      <c r="A109" s="28" t="s">
        <v>348</v>
      </c>
      <c r="B109" s="28"/>
      <c r="C109" s="28"/>
      <c r="D109" s="29">
        <f t="shared" si="3"/>
        <v>0</v>
      </c>
      <c r="E109" s="28"/>
      <c r="F109" s="28"/>
      <c r="G109" s="29">
        <f t="shared" si="1"/>
        <v>0</v>
      </c>
      <c r="H109" s="30">
        <v>1700</v>
      </c>
      <c r="I109" s="19">
        <f t="shared" si="2"/>
        <v>0</v>
      </c>
    </row>
    <row r="110" spans="1:9" x14ac:dyDescent="0.3">
      <c r="A110" s="28" t="s">
        <v>356</v>
      </c>
      <c r="B110" s="28"/>
      <c r="C110" s="28"/>
      <c r="D110" s="29">
        <f t="shared" si="3"/>
        <v>0</v>
      </c>
      <c r="E110" s="28"/>
      <c r="F110" s="28"/>
      <c r="G110" s="29">
        <f t="shared" si="1"/>
        <v>0</v>
      </c>
      <c r="H110" s="30">
        <v>550</v>
      </c>
      <c r="I110" s="19">
        <f t="shared" si="2"/>
        <v>0</v>
      </c>
    </row>
    <row r="111" spans="1:9" x14ac:dyDescent="0.3">
      <c r="A111" s="28"/>
      <c r="B111" s="28"/>
      <c r="C111" s="28"/>
      <c r="D111" s="29"/>
      <c r="E111" s="28"/>
      <c r="F111" s="28"/>
      <c r="G111" s="29"/>
      <c r="H111" s="30"/>
      <c r="I111" s="19"/>
    </row>
    <row r="112" spans="1:9" x14ac:dyDescent="0.3">
      <c r="A112" s="24" t="s">
        <v>20</v>
      </c>
      <c r="B112" s="28"/>
      <c r="C112" s="28"/>
      <c r="D112" s="29">
        <f t="shared" si="3"/>
        <v>0</v>
      </c>
      <c r="E112" s="28"/>
      <c r="F112" s="28"/>
      <c r="G112" s="29">
        <f t="shared" si="1"/>
        <v>0</v>
      </c>
      <c r="H112" s="30"/>
      <c r="I112" s="19">
        <f t="shared" si="2"/>
        <v>0</v>
      </c>
    </row>
    <row r="113" spans="1:9" x14ac:dyDescent="0.3">
      <c r="A113" s="28" t="s">
        <v>21</v>
      </c>
      <c r="B113" s="28">
        <v>500</v>
      </c>
      <c r="C113" s="28"/>
      <c r="D113" s="29">
        <f t="shared" si="3"/>
        <v>500</v>
      </c>
      <c r="E113" s="28"/>
      <c r="F113" s="28"/>
      <c r="G113" s="29">
        <f t="shared" si="1"/>
        <v>500</v>
      </c>
      <c r="H113" s="30">
        <v>10</v>
      </c>
      <c r="I113" s="19">
        <f t="shared" si="2"/>
        <v>5000</v>
      </c>
    </row>
    <row r="114" spans="1:9" x14ac:dyDescent="0.3">
      <c r="A114" s="28" t="s">
        <v>285</v>
      </c>
      <c r="B114" s="28"/>
      <c r="C114" s="28"/>
      <c r="D114" s="29">
        <f t="shared" si="3"/>
        <v>0</v>
      </c>
      <c r="E114" s="28"/>
      <c r="F114" s="28"/>
      <c r="G114" s="29">
        <f t="shared" si="1"/>
        <v>0</v>
      </c>
      <c r="H114" s="30">
        <v>10</v>
      </c>
      <c r="I114" s="19">
        <f t="shared" si="2"/>
        <v>0</v>
      </c>
    </row>
    <row r="115" spans="1:9" x14ac:dyDescent="0.3">
      <c r="A115" s="28" t="s">
        <v>95</v>
      </c>
      <c r="B115" s="28">
        <v>5</v>
      </c>
      <c r="C115" s="28"/>
      <c r="D115" s="29">
        <f t="shared" si="3"/>
        <v>5</v>
      </c>
      <c r="E115" s="28"/>
      <c r="F115" s="28"/>
      <c r="G115" s="29">
        <f t="shared" si="1"/>
        <v>5</v>
      </c>
      <c r="H115" s="31">
        <v>360</v>
      </c>
      <c r="I115" s="19">
        <f t="shared" si="2"/>
        <v>1800</v>
      </c>
    </row>
    <row r="116" spans="1:9" x14ac:dyDescent="0.3">
      <c r="A116" s="28" t="s">
        <v>113</v>
      </c>
      <c r="B116" s="28"/>
      <c r="C116" s="28"/>
      <c r="D116" s="29">
        <f t="shared" si="3"/>
        <v>0</v>
      </c>
      <c r="E116" s="28"/>
      <c r="F116" s="28"/>
      <c r="G116" s="29">
        <f t="shared" si="1"/>
        <v>0</v>
      </c>
      <c r="H116" s="30">
        <v>600</v>
      </c>
      <c r="I116" s="19">
        <f t="shared" si="2"/>
        <v>0</v>
      </c>
    </row>
    <row r="117" spans="1:9" x14ac:dyDescent="0.3">
      <c r="A117" s="28" t="s">
        <v>239</v>
      </c>
      <c r="B117" s="28">
        <v>2</v>
      </c>
      <c r="C117" s="28"/>
      <c r="D117" s="29">
        <f t="shared" si="3"/>
        <v>2</v>
      </c>
      <c r="E117" s="28"/>
      <c r="F117" s="28"/>
      <c r="G117" s="29">
        <f t="shared" si="1"/>
        <v>2</v>
      </c>
      <c r="H117" s="30">
        <v>500</v>
      </c>
      <c r="I117" s="19">
        <f t="shared" si="2"/>
        <v>1000</v>
      </c>
    </row>
    <row r="118" spans="1:9" x14ac:dyDescent="0.3">
      <c r="A118" s="28" t="s">
        <v>334</v>
      </c>
      <c r="B118" s="28"/>
      <c r="C118" s="28"/>
      <c r="D118" s="29">
        <f t="shared" si="3"/>
        <v>0</v>
      </c>
      <c r="E118" s="28"/>
      <c r="F118" s="28"/>
      <c r="G118" s="29">
        <f t="shared" si="1"/>
        <v>0</v>
      </c>
      <c r="H118" s="30">
        <v>650</v>
      </c>
      <c r="I118" s="19">
        <f t="shared" si="2"/>
        <v>0</v>
      </c>
    </row>
    <row r="119" spans="1:9" x14ac:dyDescent="0.3">
      <c r="A119" s="28" t="s">
        <v>342</v>
      </c>
      <c r="B119" s="28"/>
      <c r="C119" s="28"/>
      <c r="D119" s="29">
        <f t="shared" si="3"/>
        <v>0</v>
      </c>
      <c r="E119" s="28"/>
      <c r="F119" s="28"/>
      <c r="G119" s="29">
        <f t="shared" si="1"/>
        <v>0</v>
      </c>
      <c r="H119" s="30">
        <v>1600</v>
      </c>
      <c r="I119" s="19">
        <f t="shared" si="2"/>
        <v>0</v>
      </c>
    </row>
    <row r="120" spans="1:9" x14ac:dyDescent="0.3">
      <c r="A120" s="28" t="s">
        <v>365</v>
      </c>
      <c r="B120" s="28"/>
      <c r="C120" s="28"/>
      <c r="D120" s="29">
        <f t="shared" si="3"/>
        <v>0</v>
      </c>
      <c r="E120" s="28"/>
      <c r="F120" s="28"/>
      <c r="G120" s="29">
        <f t="shared" si="1"/>
        <v>0</v>
      </c>
      <c r="H120" s="30">
        <v>1200</v>
      </c>
      <c r="I120" s="19">
        <f t="shared" si="2"/>
        <v>0</v>
      </c>
    </row>
    <row r="121" spans="1:9" x14ac:dyDescent="0.3">
      <c r="A121" s="28"/>
      <c r="B121" s="28"/>
      <c r="C121" s="28"/>
      <c r="D121" s="29">
        <f t="shared" si="3"/>
        <v>0</v>
      </c>
      <c r="E121" s="28"/>
      <c r="F121" s="28"/>
      <c r="G121" s="29">
        <f t="shared" si="1"/>
        <v>0</v>
      </c>
      <c r="H121" s="30"/>
      <c r="I121" s="19">
        <f t="shared" si="2"/>
        <v>0</v>
      </c>
    </row>
    <row r="122" spans="1:9" x14ac:dyDescent="0.3">
      <c r="A122" s="24" t="s">
        <v>22</v>
      </c>
      <c r="B122" s="28"/>
      <c r="C122" s="28"/>
      <c r="D122" s="29">
        <f t="shared" si="3"/>
        <v>0</v>
      </c>
      <c r="E122" s="28"/>
      <c r="F122" s="28"/>
      <c r="G122" s="29">
        <f>D122-E122-F122</f>
        <v>0</v>
      </c>
      <c r="H122" s="30"/>
      <c r="I122" s="19">
        <f t="shared" si="2"/>
        <v>0</v>
      </c>
    </row>
    <row r="123" spans="1:9" x14ac:dyDescent="0.3">
      <c r="A123" s="28" t="s">
        <v>23</v>
      </c>
      <c r="B123" s="28"/>
      <c r="C123" s="28"/>
      <c r="D123" s="29">
        <f t="shared" si="3"/>
        <v>0</v>
      </c>
      <c r="E123" s="28"/>
      <c r="F123" s="28"/>
      <c r="G123" s="29">
        <f>D123-E123-F123</f>
        <v>0</v>
      </c>
      <c r="H123" s="30">
        <v>13</v>
      </c>
      <c r="I123" s="19">
        <f t="shared" si="2"/>
        <v>0</v>
      </c>
    </row>
    <row r="124" spans="1:9" x14ac:dyDescent="0.3">
      <c r="A124" s="28" t="s">
        <v>268</v>
      </c>
      <c r="B124" s="28">
        <v>50</v>
      </c>
      <c r="C124" s="28"/>
      <c r="D124" s="29">
        <f t="shared" si="3"/>
        <v>50</v>
      </c>
      <c r="E124" s="28"/>
      <c r="F124" s="28"/>
      <c r="G124" s="29">
        <f t="shared" si="1"/>
        <v>50</v>
      </c>
      <c r="H124" s="30">
        <v>500</v>
      </c>
      <c r="I124" s="19">
        <f t="shared" si="2"/>
        <v>25000</v>
      </c>
    </row>
    <row r="125" spans="1:9" x14ac:dyDescent="0.3">
      <c r="A125" s="28" t="s">
        <v>24</v>
      </c>
      <c r="B125" s="28">
        <v>1000</v>
      </c>
      <c r="C125" s="28"/>
      <c r="D125" s="29">
        <f t="shared" si="3"/>
        <v>1000</v>
      </c>
      <c r="E125" s="28"/>
      <c r="F125" s="28"/>
      <c r="G125" s="29">
        <f t="shared" si="1"/>
        <v>1000</v>
      </c>
      <c r="H125" s="30">
        <v>8</v>
      </c>
      <c r="I125" s="19">
        <f t="shared" si="2"/>
        <v>8000</v>
      </c>
    </row>
    <row r="126" spans="1:9" x14ac:dyDescent="0.3">
      <c r="A126" s="28" t="s">
        <v>258</v>
      </c>
      <c r="B126" s="28">
        <v>1000</v>
      </c>
      <c r="C126" s="28"/>
      <c r="D126" s="29">
        <f t="shared" si="3"/>
        <v>1000</v>
      </c>
      <c r="E126" s="28"/>
      <c r="F126" s="28"/>
      <c r="G126" s="29">
        <f t="shared" si="1"/>
        <v>1000</v>
      </c>
      <c r="H126" s="30">
        <v>8</v>
      </c>
      <c r="I126" s="19">
        <f t="shared" si="2"/>
        <v>8000</v>
      </c>
    </row>
    <row r="127" spans="1:9" x14ac:dyDescent="0.3">
      <c r="A127" s="28" t="s">
        <v>25</v>
      </c>
      <c r="B127" s="28">
        <v>30</v>
      </c>
      <c r="C127" s="28"/>
      <c r="D127" s="29">
        <f t="shared" si="3"/>
        <v>30</v>
      </c>
      <c r="E127" s="28"/>
      <c r="F127" s="28"/>
      <c r="G127" s="29">
        <f t="shared" si="1"/>
        <v>30</v>
      </c>
      <c r="H127" s="30">
        <v>800</v>
      </c>
      <c r="I127" s="19">
        <f t="shared" si="2"/>
        <v>24000</v>
      </c>
    </row>
    <row r="128" spans="1:9" x14ac:dyDescent="0.3">
      <c r="A128" s="28" t="s">
        <v>26</v>
      </c>
      <c r="B128" s="28">
        <v>40</v>
      </c>
      <c r="C128" s="28"/>
      <c r="D128" s="29">
        <f t="shared" si="3"/>
        <v>40</v>
      </c>
      <c r="E128" s="28"/>
      <c r="F128" s="28"/>
      <c r="G128" s="29">
        <f t="shared" si="1"/>
        <v>40</v>
      </c>
      <c r="H128" s="30">
        <v>2000</v>
      </c>
      <c r="I128" s="19">
        <f t="shared" si="2"/>
        <v>80000</v>
      </c>
    </row>
    <row r="129" spans="1:9" x14ac:dyDescent="0.3">
      <c r="A129" s="28" t="s">
        <v>27</v>
      </c>
      <c r="B129" s="28"/>
      <c r="C129" s="28"/>
      <c r="D129" s="29">
        <f t="shared" si="3"/>
        <v>0</v>
      </c>
      <c r="E129" s="28"/>
      <c r="F129" s="28"/>
      <c r="G129" s="29">
        <f t="shared" si="1"/>
        <v>0</v>
      </c>
      <c r="H129" s="30"/>
      <c r="I129" s="19">
        <f t="shared" si="2"/>
        <v>0</v>
      </c>
    </row>
    <row r="130" spans="1:9" x14ac:dyDescent="0.3">
      <c r="A130" s="28" t="s">
        <v>28</v>
      </c>
      <c r="B130" s="28"/>
      <c r="C130" s="28"/>
      <c r="D130" s="29">
        <f t="shared" si="3"/>
        <v>0</v>
      </c>
      <c r="E130" s="28"/>
      <c r="F130" s="28"/>
      <c r="G130" s="29">
        <f t="shared" si="1"/>
        <v>0</v>
      </c>
      <c r="H130" s="30">
        <v>50</v>
      </c>
      <c r="I130" s="19">
        <f t="shared" si="2"/>
        <v>0</v>
      </c>
    </row>
    <row r="131" spans="1:9" x14ac:dyDescent="0.3">
      <c r="A131" s="28" t="s">
        <v>29</v>
      </c>
      <c r="B131" s="28">
        <v>2</v>
      </c>
      <c r="C131" s="28"/>
      <c r="D131" s="29">
        <f t="shared" si="3"/>
        <v>2</v>
      </c>
      <c r="E131" s="28"/>
      <c r="F131" s="28"/>
      <c r="G131" s="29">
        <f t="shared" si="1"/>
        <v>2</v>
      </c>
      <c r="H131" s="30">
        <v>2200</v>
      </c>
      <c r="I131" s="19">
        <f t="shared" si="2"/>
        <v>4400</v>
      </c>
    </row>
    <row r="132" spans="1:9" x14ac:dyDescent="0.3">
      <c r="A132" s="28" t="s">
        <v>30</v>
      </c>
      <c r="B132" s="28">
        <v>10</v>
      </c>
      <c r="C132" s="28"/>
      <c r="D132" s="29">
        <f t="shared" si="3"/>
        <v>10</v>
      </c>
      <c r="E132" s="28"/>
      <c r="F132" s="28"/>
      <c r="G132" s="29">
        <f t="shared" ref="G132:G223" si="4">D132-E132-F132</f>
        <v>10</v>
      </c>
      <c r="H132" s="30">
        <v>600</v>
      </c>
      <c r="I132" s="19">
        <f t="shared" si="2"/>
        <v>6000</v>
      </c>
    </row>
    <row r="133" spans="1:9" x14ac:dyDescent="0.3">
      <c r="A133" s="28" t="s">
        <v>31</v>
      </c>
      <c r="B133" s="28">
        <v>1</v>
      </c>
      <c r="C133" s="28"/>
      <c r="D133" s="29">
        <f t="shared" si="3"/>
        <v>1</v>
      </c>
      <c r="E133" s="28"/>
      <c r="F133" s="28"/>
      <c r="G133" s="29">
        <f t="shared" si="4"/>
        <v>1</v>
      </c>
      <c r="H133" s="31">
        <v>750</v>
      </c>
      <c r="I133" s="19">
        <f t="shared" si="2"/>
        <v>750</v>
      </c>
    </row>
    <row r="134" spans="1:9" x14ac:dyDescent="0.3">
      <c r="A134" s="28" t="s">
        <v>82</v>
      </c>
      <c r="B134" s="28"/>
      <c r="C134" s="28"/>
      <c r="D134" s="29">
        <f t="shared" si="3"/>
        <v>0</v>
      </c>
      <c r="E134" s="28"/>
      <c r="F134" s="28"/>
      <c r="G134" s="29">
        <f t="shared" si="4"/>
        <v>0</v>
      </c>
      <c r="H134" s="30">
        <v>500</v>
      </c>
      <c r="I134" s="19">
        <f t="shared" ref="I134:I197" si="5">G134*H134</f>
        <v>0</v>
      </c>
    </row>
    <row r="135" spans="1:9" x14ac:dyDescent="0.3">
      <c r="A135" s="28" t="s">
        <v>84</v>
      </c>
      <c r="B135" s="28">
        <v>3</v>
      </c>
      <c r="C135" s="28"/>
      <c r="D135" s="29">
        <f t="shared" si="3"/>
        <v>3</v>
      </c>
      <c r="E135" s="28"/>
      <c r="F135" s="28"/>
      <c r="G135" s="29">
        <f t="shared" si="4"/>
        <v>3</v>
      </c>
      <c r="H135" s="30">
        <v>900</v>
      </c>
      <c r="I135" s="19">
        <f t="shared" si="5"/>
        <v>2700</v>
      </c>
    </row>
    <row r="136" spans="1:9" x14ac:dyDescent="0.3">
      <c r="A136" s="28" t="s">
        <v>91</v>
      </c>
      <c r="B136" s="28"/>
      <c r="C136" s="28"/>
      <c r="D136" s="29">
        <f t="shared" si="3"/>
        <v>0</v>
      </c>
      <c r="E136" s="28"/>
      <c r="F136" s="28"/>
      <c r="G136" s="29">
        <f t="shared" si="4"/>
        <v>0</v>
      </c>
      <c r="H136" s="31">
        <v>150</v>
      </c>
      <c r="I136" s="19">
        <f t="shared" si="5"/>
        <v>0</v>
      </c>
    </row>
    <row r="137" spans="1:9" x14ac:dyDescent="0.3">
      <c r="A137" s="28" t="s">
        <v>83</v>
      </c>
      <c r="B137" s="28">
        <v>16</v>
      </c>
      <c r="C137" s="28"/>
      <c r="D137" s="29">
        <f t="shared" si="3"/>
        <v>16</v>
      </c>
      <c r="E137" s="28"/>
      <c r="F137" s="28"/>
      <c r="G137" s="29">
        <f t="shared" si="4"/>
        <v>16</v>
      </c>
      <c r="H137" s="31">
        <v>650</v>
      </c>
      <c r="I137" s="19">
        <f t="shared" si="5"/>
        <v>10400</v>
      </c>
    </row>
    <row r="138" spans="1:9" x14ac:dyDescent="0.3">
      <c r="A138" s="28" t="s">
        <v>204</v>
      </c>
      <c r="B138" s="28">
        <v>4</v>
      </c>
      <c r="C138" s="28"/>
      <c r="D138" s="29">
        <f t="shared" si="3"/>
        <v>4</v>
      </c>
      <c r="E138" s="28"/>
      <c r="F138" s="28"/>
      <c r="G138" s="29">
        <f t="shared" si="4"/>
        <v>4</v>
      </c>
      <c r="H138" s="31">
        <v>800</v>
      </c>
      <c r="I138" s="19">
        <f t="shared" si="5"/>
        <v>3200</v>
      </c>
    </row>
    <row r="139" spans="1:9" x14ac:dyDescent="0.3">
      <c r="A139" s="28" t="s">
        <v>94</v>
      </c>
      <c r="B139" s="28"/>
      <c r="C139" s="28"/>
      <c r="D139" s="29">
        <f t="shared" si="3"/>
        <v>0</v>
      </c>
      <c r="E139" s="28"/>
      <c r="F139" s="28"/>
      <c r="G139" s="29">
        <f t="shared" si="4"/>
        <v>0</v>
      </c>
      <c r="H139" s="31">
        <v>400</v>
      </c>
      <c r="I139" s="19">
        <f t="shared" si="5"/>
        <v>0</v>
      </c>
    </row>
    <row r="140" spans="1:9" x14ac:dyDescent="0.3">
      <c r="A140" s="28" t="s">
        <v>49</v>
      </c>
      <c r="B140" s="28">
        <v>5</v>
      </c>
      <c r="C140" s="28"/>
      <c r="D140" s="29">
        <f t="shared" si="3"/>
        <v>5</v>
      </c>
      <c r="E140" s="28"/>
      <c r="F140" s="28"/>
      <c r="G140" s="29">
        <f t="shared" si="4"/>
        <v>5</v>
      </c>
      <c r="H140" s="30">
        <v>1900</v>
      </c>
      <c r="I140" s="19">
        <f t="shared" si="5"/>
        <v>9500</v>
      </c>
    </row>
    <row r="141" spans="1:9" x14ac:dyDescent="0.3">
      <c r="A141" s="28" t="s">
        <v>123</v>
      </c>
      <c r="B141" s="28"/>
      <c r="C141" s="28"/>
      <c r="D141" s="29">
        <f t="shared" si="3"/>
        <v>0</v>
      </c>
      <c r="E141" s="28"/>
      <c r="F141" s="28"/>
      <c r="G141" s="29">
        <f t="shared" si="4"/>
        <v>0</v>
      </c>
      <c r="H141" s="30">
        <v>1400</v>
      </c>
      <c r="I141" s="19">
        <f t="shared" si="5"/>
        <v>0</v>
      </c>
    </row>
    <row r="142" spans="1:9" x14ac:dyDescent="0.3">
      <c r="A142" s="28" t="s">
        <v>218</v>
      </c>
      <c r="B142" s="28"/>
      <c r="C142" s="28"/>
      <c r="D142" s="29">
        <f t="shared" si="3"/>
        <v>0</v>
      </c>
      <c r="E142" s="28"/>
      <c r="F142" s="28"/>
      <c r="G142" s="29">
        <f t="shared" si="4"/>
        <v>0</v>
      </c>
      <c r="H142" s="30"/>
      <c r="I142" s="19">
        <f t="shared" si="5"/>
        <v>0</v>
      </c>
    </row>
    <row r="143" spans="1:9" x14ac:dyDescent="0.3">
      <c r="A143" s="28" t="s">
        <v>219</v>
      </c>
      <c r="B143" s="28"/>
      <c r="C143" s="28"/>
      <c r="D143" s="29">
        <f t="shared" si="3"/>
        <v>0</v>
      </c>
      <c r="E143" s="28"/>
      <c r="F143" s="28"/>
      <c r="G143" s="29">
        <f t="shared" si="4"/>
        <v>0</v>
      </c>
      <c r="H143" s="30">
        <v>2000</v>
      </c>
      <c r="I143" s="19">
        <f t="shared" si="5"/>
        <v>0</v>
      </c>
    </row>
    <row r="144" spans="1:9" x14ac:dyDescent="0.3">
      <c r="A144" s="28" t="s">
        <v>175</v>
      </c>
      <c r="B144" s="28">
        <v>10</v>
      </c>
      <c r="C144" s="28"/>
      <c r="D144" s="29">
        <f t="shared" si="3"/>
        <v>10</v>
      </c>
      <c r="E144" s="28"/>
      <c r="F144" s="28"/>
      <c r="G144" s="29">
        <f t="shared" si="4"/>
        <v>10</v>
      </c>
      <c r="H144" s="30"/>
      <c r="I144" s="19">
        <f t="shared" si="5"/>
        <v>0</v>
      </c>
    </row>
    <row r="145" spans="1:9" x14ac:dyDescent="0.3">
      <c r="A145" s="28" t="s">
        <v>176</v>
      </c>
      <c r="B145" s="28"/>
      <c r="C145" s="28"/>
      <c r="D145" s="29">
        <f t="shared" si="3"/>
        <v>0</v>
      </c>
      <c r="E145" s="28"/>
      <c r="F145" s="28"/>
      <c r="G145" s="29">
        <f t="shared" si="4"/>
        <v>0</v>
      </c>
      <c r="H145" s="30"/>
      <c r="I145" s="19">
        <f t="shared" si="5"/>
        <v>0</v>
      </c>
    </row>
    <row r="146" spans="1:9" x14ac:dyDescent="0.3">
      <c r="A146" s="28" t="s">
        <v>419</v>
      </c>
      <c r="B146" s="28"/>
      <c r="C146" s="28"/>
      <c r="D146" s="29">
        <f t="shared" si="3"/>
        <v>0</v>
      </c>
      <c r="E146" s="28"/>
      <c r="F146" s="28"/>
      <c r="G146" s="29">
        <f t="shared" si="4"/>
        <v>0</v>
      </c>
      <c r="H146" s="30">
        <v>16</v>
      </c>
      <c r="I146" s="19">
        <f t="shared" si="5"/>
        <v>0</v>
      </c>
    </row>
    <row r="147" spans="1:9" x14ac:dyDescent="0.3">
      <c r="A147" s="28" t="s">
        <v>182</v>
      </c>
      <c r="B147" s="28"/>
      <c r="C147" s="28"/>
      <c r="D147" s="29">
        <f t="shared" si="3"/>
        <v>0</v>
      </c>
      <c r="E147" s="28"/>
      <c r="F147" s="28"/>
      <c r="G147" s="29">
        <f t="shared" si="4"/>
        <v>0</v>
      </c>
      <c r="H147" s="30">
        <v>1000</v>
      </c>
      <c r="I147" s="19">
        <f t="shared" si="5"/>
        <v>0</v>
      </c>
    </row>
    <row r="148" spans="1:9" x14ac:dyDescent="0.3">
      <c r="A148" s="28" t="s">
        <v>183</v>
      </c>
      <c r="B148" s="28"/>
      <c r="C148" s="28"/>
      <c r="D148" s="29">
        <f t="shared" si="3"/>
        <v>0</v>
      </c>
      <c r="E148" s="28"/>
      <c r="F148" s="28"/>
      <c r="G148" s="29">
        <f t="shared" si="4"/>
        <v>0</v>
      </c>
      <c r="H148" s="30">
        <v>500</v>
      </c>
      <c r="I148" s="19">
        <f t="shared" si="5"/>
        <v>0</v>
      </c>
    </row>
    <row r="149" spans="1:9" x14ac:dyDescent="0.3">
      <c r="A149" s="28" t="s">
        <v>184</v>
      </c>
      <c r="B149" s="28">
        <v>10</v>
      </c>
      <c r="C149" s="28"/>
      <c r="D149" s="29">
        <f t="shared" si="3"/>
        <v>10</v>
      </c>
      <c r="E149" s="28"/>
      <c r="F149" s="28"/>
      <c r="G149" s="29">
        <f t="shared" si="4"/>
        <v>10</v>
      </c>
      <c r="H149" s="30">
        <v>400</v>
      </c>
      <c r="I149" s="19">
        <f t="shared" si="5"/>
        <v>4000</v>
      </c>
    </row>
    <row r="150" spans="1:9" x14ac:dyDescent="0.3">
      <c r="A150" s="28" t="s">
        <v>187</v>
      </c>
      <c r="B150" s="28"/>
      <c r="C150" s="28"/>
      <c r="D150" s="29">
        <f t="shared" si="3"/>
        <v>0</v>
      </c>
      <c r="E150" s="28"/>
      <c r="F150" s="28"/>
      <c r="G150" s="29">
        <f t="shared" si="4"/>
        <v>0</v>
      </c>
      <c r="H150" s="30"/>
      <c r="I150" s="19">
        <f t="shared" si="5"/>
        <v>0</v>
      </c>
    </row>
    <row r="151" spans="1:9" x14ac:dyDescent="0.3">
      <c r="A151" s="28" t="s">
        <v>366</v>
      </c>
      <c r="B151" s="28"/>
      <c r="C151" s="28"/>
      <c r="D151" s="29">
        <f t="shared" si="3"/>
        <v>0</v>
      </c>
      <c r="E151" s="28"/>
      <c r="F151" s="28"/>
      <c r="G151" s="29">
        <f t="shared" si="4"/>
        <v>0</v>
      </c>
      <c r="H151" s="30">
        <v>750</v>
      </c>
      <c r="I151" s="19">
        <f t="shared" si="5"/>
        <v>0</v>
      </c>
    </row>
    <row r="152" spans="1:9" x14ac:dyDescent="0.3">
      <c r="A152" s="28" t="s">
        <v>240</v>
      </c>
      <c r="B152" s="28">
        <v>3</v>
      </c>
      <c r="C152" s="28"/>
      <c r="D152" s="29">
        <f t="shared" si="3"/>
        <v>3</v>
      </c>
      <c r="E152" s="28"/>
      <c r="F152" s="28"/>
      <c r="G152" s="29">
        <f t="shared" si="4"/>
        <v>3</v>
      </c>
      <c r="H152" s="30">
        <v>360</v>
      </c>
      <c r="I152" s="19">
        <f t="shared" si="5"/>
        <v>1080</v>
      </c>
    </row>
    <row r="153" spans="1:9" x14ac:dyDescent="0.3">
      <c r="A153" s="28" t="s">
        <v>198</v>
      </c>
      <c r="B153" s="28">
        <v>10</v>
      </c>
      <c r="C153" s="28"/>
      <c r="D153" s="29">
        <f t="shared" si="3"/>
        <v>10</v>
      </c>
      <c r="E153" s="28"/>
      <c r="F153" s="28"/>
      <c r="G153" s="29">
        <f t="shared" si="4"/>
        <v>10</v>
      </c>
      <c r="H153" s="30">
        <v>1000</v>
      </c>
      <c r="I153" s="19">
        <f t="shared" si="5"/>
        <v>10000</v>
      </c>
    </row>
    <row r="154" spans="1:9" x14ac:dyDescent="0.3">
      <c r="A154" s="28" t="s">
        <v>77</v>
      </c>
      <c r="B154" s="28">
        <v>500</v>
      </c>
      <c r="C154" s="28"/>
      <c r="D154" s="29">
        <f t="shared" si="3"/>
        <v>500</v>
      </c>
      <c r="E154" s="28"/>
      <c r="F154" s="28"/>
      <c r="G154" s="29">
        <v>150</v>
      </c>
      <c r="H154" s="30">
        <v>10</v>
      </c>
      <c r="I154" s="19">
        <f t="shared" si="5"/>
        <v>1500</v>
      </c>
    </row>
    <row r="155" spans="1:9" x14ac:dyDescent="0.3">
      <c r="A155" s="28" t="s">
        <v>361</v>
      </c>
      <c r="B155" s="28"/>
      <c r="C155" s="28"/>
      <c r="D155" s="29">
        <f t="shared" si="3"/>
        <v>0</v>
      </c>
      <c r="E155" s="28"/>
      <c r="F155" s="28"/>
      <c r="G155" s="29">
        <f t="shared" si="4"/>
        <v>0</v>
      </c>
      <c r="H155" s="30">
        <v>1500</v>
      </c>
      <c r="I155" s="19">
        <f t="shared" si="5"/>
        <v>0</v>
      </c>
    </row>
    <row r="156" spans="1:9" x14ac:dyDescent="0.3">
      <c r="A156" s="28" t="s">
        <v>259</v>
      </c>
      <c r="B156" s="28">
        <v>10</v>
      </c>
      <c r="C156" s="28"/>
      <c r="D156" s="29">
        <f t="shared" si="3"/>
        <v>10</v>
      </c>
      <c r="E156" s="28"/>
      <c r="F156" s="28"/>
      <c r="G156" s="29">
        <f t="shared" si="4"/>
        <v>10</v>
      </c>
      <c r="H156" s="30">
        <v>500</v>
      </c>
      <c r="I156" s="19">
        <f t="shared" si="5"/>
        <v>5000</v>
      </c>
    </row>
    <row r="157" spans="1:9" x14ac:dyDescent="0.3">
      <c r="A157" s="28" t="s">
        <v>286</v>
      </c>
      <c r="B157" s="28"/>
      <c r="C157" s="28"/>
      <c r="D157" s="29">
        <f t="shared" si="3"/>
        <v>0</v>
      </c>
      <c r="E157" s="28"/>
      <c r="F157" s="28"/>
      <c r="G157" s="29">
        <f t="shared" si="4"/>
        <v>0</v>
      </c>
      <c r="H157" s="30">
        <v>250</v>
      </c>
      <c r="I157" s="19">
        <f t="shared" si="5"/>
        <v>0</v>
      </c>
    </row>
    <row r="158" spans="1:9" x14ac:dyDescent="0.3">
      <c r="A158" s="28" t="s">
        <v>327</v>
      </c>
      <c r="B158" s="28"/>
      <c r="C158" s="28"/>
      <c r="D158" s="29">
        <f t="shared" si="3"/>
        <v>0</v>
      </c>
      <c r="E158" s="28"/>
      <c r="F158" s="28"/>
      <c r="G158" s="29">
        <f t="shared" si="4"/>
        <v>0</v>
      </c>
      <c r="H158" s="30">
        <v>1200</v>
      </c>
      <c r="I158" s="19">
        <f t="shared" si="5"/>
        <v>0</v>
      </c>
    </row>
    <row r="159" spans="1:9" x14ac:dyDescent="0.3">
      <c r="A159" s="28" t="s">
        <v>367</v>
      </c>
      <c r="B159" s="28">
        <v>10</v>
      </c>
      <c r="C159" s="28"/>
      <c r="D159" s="29">
        <f t="shared" si="3"/>
        <v>10</v>
      </c>
      <c r="E159" s="28"/>
      <c r="F159" s="28"/>
      <c r="G159" s="29">
        <f t="shared" si="4"/>
        <v>10</v>
      </c>
      <c r="H159" s="30">
        <v>230</v>
      </c>
      <c r="I159" s="19">
        <f t="shared" si="5"/>
        <v>2300</v>
      </c>
    </row>
    <row r="160" spans="1:9" x14ac:dyDescent="0.3">
      <c r="A160" s="28" t="s">
        <v>399</v>
      </c>
      <c r="B160" s="28"/>
      <c r="C160" s="28"/>
      <c r="D160" s="29">
        <f t="shared" si="3"/>
        <v>0</v>
      </c>
      <c r="E160" s="28"/>
      <c r="F160" s="28"/>
      <c r="G160" s="29">
        <f t="shared" si="4"/>
        <v>0</v>
      </c>
      <c r="H160" s="30">
        <v>25</v>
      </c>
      <c r="I160" s="19">
        <f t="shared" si="5"/>
        <v>0</v>
      </c>
    </row>
    <row r="161" spans="1:9" x14ac:dyDescent="0.3">
      <c r="A161" s="28"/>
      <c r="B161" s="28"/>
      <c r="C161" s="28"/>
      <c r="D161" s="29"/>
      <c r="E161" s="28"/>
      <c r="F161" s="28"/>
      <c r="G161" s="29"/>
      <c r="H161" s="30"/>
      <c r="I161" s="19">
        <f t="shared" si="5"/>
        <v>0</v>
      </c>
    </row>
    <row r="162" spans="1:9" x14ac:dyDescent="0.3">
      <c r="A162" s="24" t="s">
        <v>32</v>
      </c>
      <c r="B162" s="28"/>
      <c r="C162" s="28"/>
      <c r="D162" s="29">
        <f t="shared" si="3"/>
        <v>0</v>
      </c>
      <c r="E162" s="28"/>
      <c r="F162" s="28"/>
      <c r="G162" s="29">
        <f t="shared" si="4"/>
        <v>0</v>
      </c>
      <c r="H162" s="30"/>
      <c r="I162" s="19">
        <f t="shared" si="5"/>
        <v>0</v>
      </c>
    </row>
    <row r="163" spans="1:9" x14ac:dyDescent="0.3">
      <c r="A163" s="28" t="s">
        <v>33</v>
      </c>
      <c r="B163" s="28">
        <v>10</v>
      </c>
      <c r="C163" s="28"/>
      <c r="D163" s="29">
        <f t="shared" si="3"/>
        <v>10</v>
      </c>
      <c r="E163" s="28"/>
      <c r="F163" s="28"/>
      <c r="G163" s="29">
        <f t="shared" si="4"/>
        <v>10</v>
      </c>
      <c r="H163" s="30">
        <v>500</v>
      </c>
      <c r="I163" s="19">
        <f t="shared" si="5"/>
        <v>5000</v>
      </c>
    </row>
    <row r="164" spans="1:9" x14ac:dyDescent="0.3">
      <c r="A164" s="28" t="s">
        <v>34</v>
      </c>
      <c r="B164" s="28">
        <v>5</v>
      </c>
      <c r="C164" s="28"/>
      <c r="D164" s="29">
        <f t="shared" si="3"/>
        <v>5</v>
      </c>
      <c r="E164" s="28"/>
      <c r="F164" s="28"/>
      <c r="G164" s="29">
        <f t="shared" si="4"/>
        <v>5</v>
      </c>
      <c r="H164" s="30">
        <v>100</v>
      </c>
      <c r="I164" s="19">
        <f t="shared" si="5"/>
        <v>500</v>
      </c>
    </row>
    <row r="165" spans="1:9" x14ac:dyDescent="0.3">
      <c r="A165" s="28" t="s">
        <v>122</v>
      </c>
      <c r="B165" s="28">
        <v>7</v>
      </c>
      <c r="C165" s="28"/>
      <c r="D165" s="29">
        <f t="shared" si="3"/>
        <v>7</v>
      </c>
      <c r="E165" s="28"/>
      <c r="F165" s="28"/>
      <c r="G165" s="29">
        <f t="shared" si="4"/>
        <v>7</v>
      </c>
      <c r="H165" s="30">
        <v>200</v>
      </c>
      <c r="I165" s="19">
        <f t="shared" si="5"/>
        <v>1400</v>
      </c>
    </row>
    <row r="166" spans="1:9" x14ac:dyDescent="0.3">
      <c r="A166" s="28" t="s">
        <v>143</v>
      </c>
      <c r="B166" s="28">
        <v>5</v>
      </c>
      <c r="C166" s="28"/>
      <c r="D166" s="29">
        <f t="shared" si="3"/>
        <v>5</v>
      </c>
      <c r="E166" s="28"/>
      <c r="F166" s="28"/>
      <c r="G166" s="29">
        <f t="shared" si="4"/>
        <v>5</v>
      </c>
      <c r="H166" s="30">
        <v>900</v>
      </c>
      <c r="I166" s="19">
        <f t="shared" si="5"/>
        <v>4500</v>
      </c>
    </row>
    <row r="167" spans="1:9" x14ac:dyDescent="0.3">
      <c r="A167" s="28" t="s">
        <v>151</v>
      </c>
      <c r="B167" s="28"/>
      <c r="C167" s="28"/>
      <c r="D167" s="29">
        <f t="shared" si="3"/>
        <v>0</v>
      </c>
      <c r="E167" s="28"/>
      <c r="F167" s="28"/>
      <c r="G167" s="29">
        <f t="shared" si="4"/>
        <v>0</v>
      </c>
      <c r="H167" s="30">
        <v>45</v>
      </c>
      <c r="I167" s="19">
        <f t="shared" si="5"/>
        <v>0</v>
      </c>
    </row>
    <row r="168" spans="1:9" x14ac:dyDescent="0.3">
      <c r="A168" s="28" t="s">
        <v>186</v>
      </c>
      <c r="B168" s="28"/>
      <c r="C168" s="28"/>
      <c r="D168" s="29">
        <f t="shared" si="3"/>
        <v>0</v>
      </c>
      <c r="E168" s="28"/>
      <c r="F168" s="28"/>
      <c r="G168" s="29">
        <f t="shared" si="4"/>
        <v>0</v>
      </c>
      <c r="H168" s="30"/>
      <c r="I168" s="19">
        <f t="shared" si="5"/>
        <v>0</v>
      </c>
    </row>
    <row r="169" spans="1:9" x14ac:dyDescent="0.3">
      <c r="A169" s="28" t="s">
        <v>207</v>
      </c>
      <c r="B169" s="28">
        <v>5</v>
      </c>
      <c r="C169" s="28"/>
      <c r="D169" s="29">
        <f t="shared" si="3"/>
        <v>5</v>
      </c>
      <c r="E169" s="28"/>
      <c r="F169" s="28"/>
      <c r="G169" s="29">
        <f t="shared" si="4"/>
        <v>5</v>
      </c>
      <c r="H169" s="30">
        <v>850</v>
      </c>
      <c r="I169" s="19">
        <f t="shared" si="5"/>
        <v>4250</v>
      </c>
    </row>
    <row r="170" spans="1:9" x14ac:dyDescent="0.3">
      <c r="A170" s="28" t="s">
        <v>44</v>
      </c>
      <c r="B170" s="28">
        <v>5</v>
      </c>
      <c r="C170" s="28"/>
      <c r="D170" s="29">
        <f t="shared" si="3"/>
        <v>5</v>
      </c>
      <c r="E170" s="28"/>
      <c r="F170" s="28"/>
      <c r="G170" s="29">
        <f t="shared" si="4"/>
        <v>5</v>
      </c>
      <c r="H170" s="30">
        <v>400</v>
      </c>
      <c r="I170" s="19">
        <f t="shared" si="5"/>
        <v>2000</v>
      </c>
    </row>
    <row r="171" spans="1:9" x14ac:dyDescent="0.3">
      <c r="A171" s="28" t="s">
        <v>264</v>
      </c>
      <c r="B171" s="28">
        <v>5</v>
      </c>
      <c r="C171" s="28"/>
      <c r="D171" s="29">
        <f t="shared" si="3"/>
        <v>5</v>
      </c>
      <c r="E171" s="28"/>
      <c r="F171" s="28"/>
      <c r="G171" s="29">
        <f t="shared" si="4"/>
        <v>5</v>
      </c>
      <c r="H171" s="30">
        <v>25</v>
      </c>
      <c r="I171" s="19">
        <f t="shared" si="5"/>
        <v>125</v>
      </c>
    </row>
    <row r="172" spans="1:9" x14ac:dyDescent="0.3">
      <c r="A172" s="28" t="s">
        <v>346</v>
      </c>
      <c r="B172" s="28"/>
      <c r="C172" s="28"/>
      <c r="D172" s="29">
        <f t="shared" si="3"/>
        <v>0</v>
      </c>
      <c r="E172" s="28"/>
      <c r="F172" s="28"/>
      <c r="G172" s="29">
        <f t="shared" si="4"/>
        <v>0</v>
      </c>
      <c r="H172" s="30">
        <v>650</v>
      </c>
      <c r="I172" s="19">
        <f t="shared" si="5"/>
        <v>0</v>
      </c>
    </row>
    <row r="173" spans="1:9" x14ac:dyDescent="0.3">
      <c r="A173" s="28" t="s">
        <v>407</v>
      </c>
      <c r="B173" s="28">
        <v>5</v>
      </c>
      <c r="C173" s="28"/>
      <c r="D173" s="29">
        <f t="shared" si="3"/>
        <v>5</v>
      </c>
      <c r="E173" s="28"/>
      <c r="F173" s="28"/>
      <c r="G173" s="29">
        <f t="shared" si="4"/>
        <v>5</v>
      </c>
      <c r="H173" s="30">
        <v>500</v>
      </c>
      <c r="I173" s="19">
        <f t="shared" si="5"/>
        <v>2500</v>
      </c>
    </row>
    <row r="174" spans="1:9" x14ac:dyDescent="0.3">
      <c r="A174" s="24" t="s">
        <v>35</v>
      </c>
      <c r="B174" s="28"/>
      <c r="C174" s="28"/>
      <c r="D174" s="29">
        <f t="shared" ref="D174:D242" si="6">B174+C174</f>
        <v>0</v>
      </c>
      <c r="E174" s="28"/>
      <c r="F174" s="28"/>
      <c r="G174" s="29">
        <f t="shared" si="4"/>
        <v>0</v>
      </c>
      <c r="H174" s="30"/>
      <c r="I174" s="19">
        <f t="shared" si="5"/>
        <v>0</v>
      </c>
    </row>
    <row r="175" spans="1:9" x14ac:dyDescent="0.3">
      <c r="A175" s="28" t="s">
        <v>220</v>
      </c>
      <c r="B175" s="28"/>
      <c r="C175" s="28"/>
      <c r="D175" s="29">
        <f t="shared" si="6"/>
        <v>0</v>
      </c>
      <c r="E175" s="28"/>
      <c r="F175" s="28"/>
      <c r="G175" s="29">
        <f t="shared" si="4"/>
        <v>0</v>
      </c>
      <c r="H175" s="30">
        <v>100</v>
      </c>
      <c r="I175" s="19">
        <f t="shared" si="5"/>
        <v>0</v>
      </c>
    </row>
    <row r="176" spans="1:9" x14ac:dyDescent="0.3">
      <c r="A176" s="28" t="s">
        <v>81</v>
      </c>
      <c r="B176" s="28">
        <v>10</v>
      </c>
      <c r="C176" s="28"/>
      <c r="D176" s="29">
        <f t="shared" si="6"/>
        <v>10</v>
      </c>
      <c r="E176" s="28"/>
      <c r="F176" s="28"/>
      <c r="G176" s="29">
        <f t="shared" si="4"/>
        <v>10</v>
      </c>
      <c r="H176" s="30">
        <v>800</v>
      </c>
      <c r="I176" s="19">
        <f t="shared" si="5"/>
        <v>8000</v>
      </c>
    </row>
    <row r="177" spans="1:9" x14ac:dyDescent="0.3">
      <c r="A177" s="28" t="s">
        <v>36</v>
      </c>
      <c r="B177" s="28"/>
      <c r="C177" s="28"/>
      <c r="D177" s="29">
        <f t="shared" si="6"/>
        <v>0</v>
      </c>
      <c r="E177" s="28"/>
      <c r="F177" s="28"/>
      <c r="G177" s="29">
        <f t="shared" si="4"/>
        <v>0</v>
      </c>
      <c r="H177" s="30">
        <v>1000</v>
      </c>
      <c r="I177" s="19">
        <f t="shared" si="5"/>
        <v>0</v>
      </c>
    </row>
    <row r="178" spans="1:9" x14ac:dyDescent="0.3">
      <c r="A178" s="28" t="s">
        <v>37</v>
      </c>
      <c r="B178" s="28">
        <v>50</v>
      </c>
      <c r="C178" s="28"/>
      <c r="D178" s="29">
        <f t="shared" si="6"/>
        <v>50</v>
      </c>
      <c r="E178" s="28"/>
      <c r="F178" s="28"/>
      <c r="G178" s="29">
        <f t="shared" si="4"/>
        <v>50</v>
      </c>
      <c r="H178" s="30">
        <v>120</v>
      </c>
      <c r="I178" s="19">
        <f t="shared" si="5"/>
        <v>6000</v>
      </c>
    </row>
    <row r="179" spans="1:9" x14ac:dyDescent="0.3">
      <c r="A179" s="28" t="s">
        <v>357</v>
      </c>
      <c r="B179" s="28">
        <v>10</v>
      </c>
      <c r="C179" s="28"/>
      <c r="D179" s="29">
        <f t="shared" si="6"/>
        <v>10</v>
      </c>
      <c r="E179" s="28"/>
      <c r="F179" s="28"/>
      <c r="G179" s="29">
        <f t="shared" si="4"/>
        <v>10</v>
      </c>
      <c r="H179" s="31">
        <v>400</v>
      </c>
      <c r="I179" s="19">
        <f t="shared" si="5"/>
        <v>4000</v>
      </c>
    </row>
    <row r="180" spans="1:9" x14ac:dyDescent="0.3">
      <c r="A180" s="28"/>
      <c r="B180" s="28"/>
      <c r="C180" s="28"/>
      <c r="D180" s="29">
        <f t="shared" si="6"/>
        <v>0</v>
      </c>
      <c r="E180" s="28"/>
      <c r="F180" s="28"/>
      <c r="G180" s="29">
        <f t="shared" si="4"/>
        <v>0</v>
      </c>
      <c r="H180" s="30">
        <v>300</v>
      </c>
      <c r="I180" s="19">
        <f t="shared" si="5"/>
        <v>0</v>
      </c>
    </row>
    <row r="181" spans="1:9" x14ac:dyDescent="0.3">
      <c r="A181" s="28"/>
      <c r="B181" s="28"/>
      <c r="C181" s="28"/>
      <c r="D181" s="29">
        <f t="shared" si="6"/>
        <v>0</v>
      </c>
      <c r="E181" s="28"/>
      <c r="F181" s="28"/>
      <c r="G181" s="29">
        <f t="shared" si="4"/>
        <v>0</v>
      </c>
      <c r="H181" s="30"/>
      <c r="I181" s="19"/>
    </row>
    <row r="182" spans="1:9" x14ac:dyDescent="0.3">
      <c r="A182" s="24" t="s">
        <v>320</v>
      </c>
      <c r="B182" s="28"/>
      <c r="C182" s="28"/>
      <c r="D182" s="29">
        <f t="shared" si="6"/>
        <v>0</v>
      </c>
      <c r="E182" s="28"/>
      <c r="F182" s="28"/>
      <c r="G182" s="29">
        <f t="shared" si="4"/>
        <v>0</v>
      </c>
      <c r="H182" s="30"/>
      <c r="I182" s="19"/>
    </row>
    <row r="183" spans="1:9" x14ac:dyDescent="0.3">
      <c r="A183" s="28" t="s">
        <v>51</v>
      </c>
      <c r="B183" s="28"/>
      <c r="C183" s="28"/>
      <c r="D183" s="29">
        <f t="shared" si="6"/>
        <v>0</v>
      </c>
      <c r="E183" s="28"/>
      <c r="F183" s="28"/>
      <c r="G183" s="29">
        <f t="shared" si="4"/>
        <v>0</v>
      </c>
      <c r="H183" s="30">
        <v>130</v>
      </c>
      <c r="I183" s="19">
        <f t="shared" si="5"/>
        <v>0</v>
      </c>
    </row>
    <row r="184" spans="1:9" x14ac:dyDescent="0.3">
      <c r="A184" s="28"/>
      <c r="B184" s="28"/>
      <c r="C184" s="28"/>
      <c r="D184" s="29">
        <f t="shared" si="6"/>
        <v>0</v>
      </c>
      <c r="E184" s="28"/>
      <c r="F184" s="28"/>
      <c r="G184" s="29">
        <f t="shared" si="4"/>
        <v>0</v>
      </c>
      <c r="H184" s="30"/>
      <c r="I184" s="19">
        <f t="shared" si="5"/>
        <v>0</v>
      </c>
    </row>
    <row r="185" spans="1:9" x14ac:dyDescent="0.3">
      <c r="A185" s="24" t="s">
        <v>70</v>
      </c>
      <c r="B185" s="28"/>
      <c r="C185" s="28"/>
      <c r="D185" s="29">
        <f t="shared" si="6"/>
        <v>0</v>
      </c>
      <c r="E185" s="28"/>
      <c r="F185" s="28"/>
      <c r="G185" s="29">
        <f t="shared" si="4"/>
        <v>0</v>
      </c>
      <c r="H185" s="30"/>
      <c r="I185" s="19">
        <f t="shared" si="5"/>
        <v>0</v>
      </c>
    </row>
    <row r="186" spans="1:9" x14ac:dyDescent="0.3">
      <c r="A186" s="28" t="s">
        <v>248</v>
      </c>
      <c r="B186" s="28"/>
      <c r="C186" s="28"/>
      <c r="D186" s="29">
        <f t="shared" si="6"/>
        <v>0</v>
      </c>
      <c r="E186" s="28"/>
      <c r="F186" s="28"/>
      <c r="G186" s="29">
        <f t="shared" si="4"/>
        <v>0</v>
      </c>
      <c r="H186" s="30">
        <v>700</v>
      </c>
      <c r="I186" s="19">
        <f t="shared" si="5"/>
        <v>0</v>
      </c>
    </row>
    <row r="187" spans="1:9" x14ac:dyDescent="0.3">
      <c r="A187" s="28" t="s">
        <v>249</v>
      </c>
      <c r="B187" s="28"/>
      <c r="C187" s="28"/>
      <c r="D187" s="29">
        <f t="shared" si="6"/>
        <v>0</v>
      </c>
      <c r="E187" s="28"/>
      <c r="F187" s="28"/>
      <c r="G187" s="29">
        <f t="shared" si="4"/>
        <v>0</v>
      </c>
      <c r="H187" s="30">
        <v>650</v>
      </c>
      <c r="I187" s="19">
        <f t="shared" si="5"/>
        <v>0</v>
      </c>
    </row>
    <row r="188" spans="1:9" x14ac:dyDescent="0.3">
      <c r="A188" s="28" t="s">
        <v>38</v>
      </c>
      <c r="B188" s="28"/>
      <c r="C188" s="28"/>
      <c r="D188" s="29">
        <f t="shared" si="6"/>
        <v>0</v>
      </c>
      <c r="E188" s="28"/>
      <c r="F188" s="28"/>
      <c r="G188" s="29">
        <f t="shared" si="4"/>
        <v>0</v>
      </c>
      <c r="H188" s="30">
        <v>300</v>
      </c>
      <c r="I188" s="19">
        <f t="shared" si="5"/>
        <v>0</v>
      </c>
    </row>
    <row r="189" spans="1:9" x14ac:dyDescent="0.3">
      <c r="A189" s="28" t="s">
        <v>39</v>
      </c>
      <c r="B189" s="28">
        <v>500</v>
      </c>
      <c r="C189" s="28"/>
      <c r="D189" s="29">
        <f t="shared" si="6"/>
        <v>500</v>
      </c>
      <c r="E189" s="28"/>
      <c r="F189" s="28"/>
      <c r="G189" s="29">
        <f t="shared" si="4"/>
        <v>500</v>
      </c>
      <c r="H189" s="30">
        <v>20</v>
      </c>
      <c r="I189" s="19">
        <f t="shared" si="5"/>
        <v>10000</v>
      </c>
    </row>
    <row r="190" spans="1:9" x14ac:dyDescent="0.3">
      <c r="A190" s="28" t="s">
        <v>40</v>
      </c>
      <c r="B190" s="28"/>
      <c r="C190" s="28"/>
      <c r="D190" s="29">
        <f t="shared" si="6"/>
        <v>0</v>
      </c>
      <c r="E190" s="28"/>
      <c r="F190" s="28"/>
      <c r="G190" s="29">
        <f t="shared" si="4"/>
        <v>0</v>
      </c>
      <c r="H190" s="30">
        <v>700</v>
      </c>
      <c r="I190" s="19">
        <f t="shared" si="5"/>
        <v>0</v>
      </c>
    </row>
    <row r="191" spans="1:9" x14ac:dyDescent="0.3">
      <c r="A191" s="28" t="s">
        <v>41</v>
      </c>
      <c r="B191" s="28"/>
      <c r="C191" s="28"/>
      <c r="D191" s="29">
        <f t="shared" si="6"/>
        <v>0</v>
      </c>
      <c r="E191" s="28"/>
      <c r="F191" s="28"/>
      <c r="G191" s="29">
        <f t="shared" si="4"/>
        <v>0</v>
      </c>
      <c r="H191" s="30"/>
      <c r="I191" s="19">
        <f t="shared" si="5"/>
        <v>0</v>
      </c>
    </row>
    <row r="192" spans="1:9" x14ac:dyDescent="0.3">
      <c r="A192" s="28" t="s">
        <v>118</v>
      </c>
      <c r="B192" s="28"/>
      <c r="C192" s="28"/>
      <c r="D192" s="29">
        <f t="shared" si="6"/>
        <v>0</v>
      </c>
      <c r="E192" s="28"/>
      <c r="F192" s="28"/>
      <c r="G192" s="29">
        <f t="shared" si="4"/>
        <v>0</v>
      </c>
      <c r="H192" s="30">
        <v>650</v>
      </c>
      <c r="I192" s="19">
        <f t="shared" si="5"/>
        <v>0</v>
      </c>
    </row>
    <row r="193" spans="1:14" x14ac:dyDescent="0.3">
      <c r="A193" s="28" t="s">
        <v>137</v>
      </c>
      <c r="B193" s="28">
        <v>260</v>
      </c>
      <c r="C193" s="28"/>
      <c r="D193" s="29">
        <f t="shared" si="6"/>
        <v>260</v>
      </c>
      <c r="E193" s="28"/>
      <c r="F193" s="28"/>
      <c r="G193" s="29">
        <f t="shared" si="4"/>
        <v>260</v>
      </c>
      <c r="H193" s="30">
        <v>600</v>
      </c>
      <c r="I193" s="19">
        <f t="shared" si="5"/>
        <v>156000</v>
      </c>
    </row>
    <row r="194" spans="1:14" x14ac:dyDescent="0.3">
      <c r="A194" s="28" t="s">
        <v>201</v>
      </c>
      <c r="B194" s="28">
        <v>10</v>
      </c>
      <c r="C194" s="28"/>
      <c r="D194" s="29">
        <f t="shared" si="6"/>
        <v>10</v>
      </c>
      <c r="E194" s="28"/>
      <c r="F194" s="28"/>
      <c r="G194" s="29">
        <f t="shared" si="4"/>
        <v>10</v>
      </c>
      <c r="H194" s="30">
        <v>600</v>
      </c>
      <c r="I194" s="19">
        <f t="shared" si="5"/>
        <v>6000</v>
      </c>
      <c r="N194" s="17">
        <f>61800-20000-22500</f>
        <v>19300</v>
      </c>
    </row>
    <row r="195" spans="1:14" x14ac:dyDescent="0.3">
      <c r="A195" s="28" t="s">
        <v>142</v>
      </c>
      <c r="B195" s="28">
        <v>50</v>
      </c>
      <c r="C195" s="28"/>
      <c r="D195" s="29">
        <f t="shared" si="6"/>
        <v>50</v>
      </c>
      <c r="E195" s="28"/>
      <c r="F195" s="28"/>
      <c r="G195" s="29">
        <f t="shared" si="4"/>
        <v>50</v>
      </c>
      <c r="H195" s="30">
        <v>70</v>
      </c>
      <c r="I195" s="19">
        <f t="shared" si="5"/>
        <v>3500</v>
      </c>
    </row>
    <row r="196" spans="1:14" x14ac:dyDescent="0.3">
      <c r="A196" s="28" t="s">
        <v>75</v>
      </c>
      <c r="B196" s="28">
        <v>500</v>
      </c>
      <c r="C196" s="28"/>
      <c r="D196" s="29">
        <f t="shared" si="6"/>
        <v>500</v>
      </c>
      <c r="E196" s="28"/>
      <c r="F196" s="28"/>
      <c r="G196" s="29">
        <f t="shared" si="4"/>
        <v>500</v>
      </c>
      <c r="H196" s="30">
        <v>20</v>
      </c>
      <c r="I196" s="19">
        <f t="shared" si="5"/>
        <v>10000</v>
      </c>
    </row>
    <row r="197" spans="1:14" x14ac:dyDescent="0.3">
      <c r="A197" s="28" t="s">
        <v>185</v>
      </c>
      <c r="B197" s="28">
        <v>150</v>
      </c>
      <c r="C197" s="28"/>
      <c r="D197" s="29">
        <f t="shared" si="6"/>
        <v>150</v>
      </c>
      <c r="E197" s="28"/>
      <c r="F197" s="28"/>
      <c r="G197" s="29">
        <f t="shared" si="4"/>
        <v>150</v>
      </c>
      <c r="H197" s="30">
        <v>4.5</v>
      </c>
      <c r="I197" s="19">
        <f t="shared" si="5"/>
        <v>675</v>
      </c>
    </row>
    <row r="198" spans="1:14" x14ac:dyDescent="0.3">
      <c r="A198" s="28" t="s">
        <v>406</v>
      </c>
      <c r="B198" s="28">
        <v>4</v>
      </c>
      <c r="C198" s="28"/>
      <c r="D198" s="29">
        <f t="shared" si="6"/>
        <v>4</v>
      </c>
      <c r="E198" s="28"/>
      <c r="F198" s="28"/>
      <c r="G198" s="29">
        <f t="shared" si="4"/>
        <v>4</v>
      </c>
      <c r="H198" s="30">
        <v>700</v>
      </c>
      <c r="I198" s="19">
        <f t="shared" ref="I198:I291" si="7">G198*H198</f>
        <v>2800</v>
      </c>
    </row>
    <row r="199" spans="1:14" x14ac:dyDescent="0.3">
      <c r="A199" s="28" t="s">
        <v>153</v>
      </c>
      <c r="B199" s="28">
        <v>1000</v>
      </c>
      <c r="C199" s="28"/>
      <c r="D199" s="29">
        <f t="shared" si="6"/>
        <v>1000</v>
      </c>
      <c r="E199" s="28"/>
      <c r="F199" s="28"/>
      <c r="G199" s="29">
        <f t="shared" si="4"/>
        <v>1000</v>
      </c>
      <c r="H199" s="30">
        <v>20</v>
      </c>
      <c r="I199" s="19">
        <f t="shared" si="7"/>
        <v>20000</v>
      </c>
    </row>
    <row r="200" spans="1:14" x14ac:dyDescent="0.3">
      <c r="A200" s="28" t="s">
        <v>221</v>
      </c>
      <c r="B200" s="28">
        <v>2000</v>
      </c>
      <c r="C200" s="28"/>
      <c r="D200" s="29">
        <f t="shared" si="6"/>
        <v>2000</v>
      </c>
      <c r="E200" s="28"/>
      <c r="F200" s="28"/>
      <c r="G200" s="29">
        <f t="shared" si="4"/>
        <v>2000</v>
      </c>
      <c r="H200" s="30"/>
      <c r="I200" s="19">
        <f t="shared" si="7"/>
        <v>0</v>
      </c>
    </row>
    <row r="201" spans="1:14" x14ac:dyDescent="0.3">
      <c r="A201" s="28" t="s">
        <v>242</v>
      </c>
      <c r="B201" s="28"/>
      <c r="C201" s="28"/>
      <c r="D201" s="29">
        <f t="shared" si="6"/>
        <v>0</v>
      </c>
      <c r="E201" s="28"/>
      <c r="F201" s="28"/>
      <c r="G201" s="29">
        <f t="shared" si="4"/>
        <v>0</v>
      </c>
      <c r="H201" s="30">
        <v>20</v>
      </c>
      <c r="I201" s="19">
        <f t="shared" si="7"/>
        <v>0</v>
      </c>
    </row>
    <row r="202" spans="1:14" x14ac:dyDescent="0.3">
      <c r="A202" s="28" t="s">
        <v>315</v>
      </c>
      <c r="B202" s="28"/>
      <c r="C202" s="28"/>
      <c r="D202" s="29">
        <f t="shared" si="6"/>
        <v>0</v>
      </c>
      <c r="E202" s="28"/>
      <c r="F202" s="28"/>
      <c r="G202" s="29">
        <f t="shared" si="4"/>
        <v>0</v>
      </c>
      <c r="H202" s="30">
        <v>350</v>
      </c>
      <c r="I202" s="19">
        <f t="shared" si="7"/>
        <v>0</v>
      </c>
    </row>
    <row r="203" spans="1:14" x14ac:dyDescent="0.3">
      <c r="A203" s="28" t="s">
        <v>278</v>
      </c>
      <c r="B203" s="28">
        <v>6</v>
      </c>
      <c r="C203" s="28"/>
      <c r="D203" s="29">
        <f t="shared" si="6"/>
        <v>6</v>
      </c>
      <c r="E203" s="28"/>
      <c r="F203" s="28"/>
      <c r="G203" s="29">
        <f t="shared" si="4"/>
        <v>6</v>
      </c>
      <c r="H203" s="30">
        <v>520</v>
      </c>
      <c r="I203" s="19">
        <f>G203*H203</f>
        <v>3120</v>
      </c>
    </row>
    <row r="204" spans="1:14" x14ac:dyDescent="0.3">
      <c r="A204" s="28" t="s">
        <v>302</v>
      </c>
      <c r="B204" s="28"/>
      <c r="C204" s="28"/>
      <c r="D204" s="29">
        <f t="shared" si="6"/>
        <v>0</v>
      </c>
      <c r="E204" s="28"/>
      <c r="F204" s="28"/>
      <c r="G204" s="29">
        <f t="shared" si="4"/>
        <v>0</v>
      </c>
      <c r="H204" s="30">
        <v>480</v>
      </c>
      <c r="I204" s="19">
        <f t="shared" si="7"/>
        <v>0</v>
      </c>
    </row>
    <row r="205" spans="1:14" x14ac:dyDescent="0.3">
      <c r="A205" s="28" t="s">
        <v>328</v>
      </c>
      <c r="B205" s="28"/>
      <c r="C205" s="28"/>
      <c r="D205" s="29">
        <f t="shared" si="6"/>
        <v>0</v>
      </c>
      <c r="E205" s="28"/>
      <c r="F205" s="28"/>
      <c r="G205" s="29">
        <f t="shared" si="4"/>
        <v>0</v>
      </c>
      <c r="H205" s="30">
        <v>1585</v>
      </c>
      <c r="I205" s="19">
        <f t="shared" si="7"/>
        <v>0</v>
      </c>
    </row>
    <row r="206" spans="1:14" x14ac:dyDescent="0.3">
      <c r="A206" s="28" t="s">
        <v>329</v>
      </c>
      <c r="B206" s="28"/>
      <c r="C206" s="28"/>
      <c r="D206" s="29">
        <f t="shared" si="6"/>
        <v>0</v>
      </c>
      <c r="E206" s="28"/>
      <c r="F206" s="28"/>
      <c r="G206" s="29">
        <f t="shared" si="4"/>
        <v>0</v>
      </c>
      <c r="H206" s="30">
        <v>750</v>
      </c>
      <c r="I206" s="19">
        <f t="shared" si="7"/>
        <v>0</v>
      </c>
    </row>
    <row r="207" spans="1:14" x14ac:dyDescent="0.3">
      <c r="A207" s="28" t="s">
        <v>368</v>
      </c>
      <c r="B207" s="28">
        <v>1</v>
      </c>
      <c r="C207" s="28"/>
      <c r="D207" s="29">
        <f t="shared" si="6"/>
        <v>1</v>
      </c>
      <c r="E207" s="28"/>
      <c r="F207" s="28"/>
      <c r="G207" s="29">
        <f t="shared" si="4"/>
        <v>1</v>
      </c>
      <c r="H207" s="30">
        <v>800</v>
      </c>
      <c r="I207" s="19">
        <v>800</v>
      </c>
    </row>
    <row r="208" spans="1:14" x14ac:dyDescent="0.3">
      <c r="A208" s="28" t="s">
        <v>347</v>
      </c>
      <c r="B208" s="28"/>
      <c r="C208" s="28"/>
      <c r="D208" s="29">
        <f t="shared" si="6"/>
        <v>0</v>
      </c>
      <c r="E208" s="28"/>
      <c r="F208" s="28"/>
      <c r="G208" s="29">
        <f t="shared" si="4"/>
        <v>0</v>
      </c>
      <c r="H208" s="30">
        <v>2200</v>
      </c>
      <c r="I208" s="19">
        <f t="shared" si="7"/>
        <v>0</v>
      </c>
    </row>
    <row r="209" spans="1:9" x14ac:dyDescent="0.3">
      <c r="A209" s="28" t="s">
        <v>369</v>
      </c>
      <c r="B209" s="28"/>
      <c r="C209" s="28"/>
      <c r="D209" s="29">
        <f t="shared" si="6"/>
        <v>0</v>
      </c>
      <c r="E209" s="28"/>
      <c r="F209" s="28"/>
      <c r="G209" s="29">
        <f t="shared" si="4"/>
        <v>0</v>
      </c>
      <c r="H209" s="30">
        <v>1100</v>
      </c>
      <c r="I209" s="19">
        <f t="shared" si="7"/>
        <v>0</v>
      </c>
    </row>
    <row r="210" spans="1:9" x14ac:dyDescent="0.3">
      <c r="A210" s="28"/>
      <c r="B210" s="28"/>
      <c r="C210" s="28"/>
      <c r="D210" s="29"/>
      <c r="E210" s="28"/>
      <c r="F210" s="28"/>
      <c r="G210" s="29"/>
      <c r="H210" s="30"/>
      <c r="I210" s="19"/>
    </row>
    <row r="211" spans="1:9" x14ac:dyDescent="0.3">
      <c r="A211" s="24" t="s">
        <v>42</v>
      </c>
      <c r="B211" s="28"/>
      <c r="C211" s="28"/>
      <c r="D211" s="29">
        <f t="shared" si="6"/>
        <v>0</v>
      </c>
      <c r="E211" s="28"/>
      <c r="F211" s="28"/>
      <c r="G211" s="29">
        <f t="shared" si="4"/>
        <v>0</v>
      </c>
      <c r="H211" s="30"/>
      <c r="I211" s="19">
        <f t="shared" si="7"/>
        <v>0</v>
      </c>
    </row>
    <row r="212" spans="1:9" x14ac:dyDescent="0.3">
      <c r="A212" s="28" t="s">
        <v>235</v>
      </c>
      <c r="B212" s="28">
        <v>10</v>
      </c>
      <c r="C212" s="28"/>
      <c r="D212" s="29">
        <f t="shared" si="6"/>
        <v>10</v>
      </c>
      <c r="E212" s="28"/>
      <c r="F212" s="28"/>
      <c r="G212" s="29">
        <f t="shared" si="4"/>
        <v>10</v>
      </c>
      <c r="H212" s="30">
        <v>1400</v>
      </c>
      <c r="I212" s="19">
        <f t="shared" si="7"/>
        <v>14000</v>
      </c>
    </row>
    <row r="213" spans="1:9" x14ac:dyDescent="0.3">
      <c r="A213" s="28" t="s">
        <v>43</v>
      </c>
      <c r="B213" s="28">
        <v>48</v>
      </c>
      <c r="C213" s="28"/>
      <c r="D213" s="29">
        <f t="shared" si="6"/>
        <v>48</v>
      </c>
      <c r="E213" s="28"/>
      <c r="F213" s="28"/>
      <c r="G213" s="29">
        <f t="shared" si="4"/>
        <v>48</v>
      </c>
      <c r="H213" s="30">
        <v>600</v>
      </c>
      <c r="I213" s="19">
        <f t="shared" si="7"/>
        <v>28800</v>
      </c>
    </row>
    <row r="214" spans="1:9" x14ac:dyDescent="0.3">
      <c r="A214" s="28" t="s">
        <v>269</v>
      </c>
      <c r="B214" s="28"/>
      <c r="C214" s="28"/>
      <c r="D214" s="29">
        <f t="shared" si="6"/>
        <v>0</v>
      </c>
      <c r="E214" s="28"/>
      <c r="F214" s="28"/>
      <c r="G214" s="29">
        <f t="shared" si="4"/>
        <v>0</v>
      </c>
      <c r="H214" s="30">
        <v>2500</v>
      </c>
      <c r="I214" s="19">
        <f t="shared" si="7"/>
        <v>0</v>
      </c>
    </row>
    <row r="215" spans="1:9" x14ac:dyDescent="0.3">
      <c r="A215" s="28" t="s">
        <v>44</v>
      </c>
      <c r="B215" s="28">
        <v>39</v>
      </c>
      <c r="C215" s="28"/>
      <c r="D215" s="29">
        <f t="shared" si="6"/>
        <v>39</v>
      </c>
      <c r="E215" s="28"/>
      <c r="F215" s="28"/>
      <c r="G215" s="29">
        <f t="shared" si="4"/>
        <v>39</v>
      </c>
      <c r="H215" s="31">
        <v>250</v>
      </c>
      <c r="I215" s="19">
        <f t="shared" si="7"/>
        <v>9750</v>
      </c>
    </row>
    <row r="216" spans="1:9" x14ac:dyDescent="0.3">
      <c r="A216" s="28" t="s">
        <v>45</v>
      </c>
      <c r="B216" s="28">
        <v>100</v>
      </c>
      <c r="C216" s="28"/>
      <c r="D216" s="29">
        <f t="shared" si="6"/>
        <v>100</v>
      </c>
      <c r="E216" s="28"/>
      <c r="F216" s="28"/>
      <c r="G216" s="29">
        <f t="shared" si="4"/>
        <v>100</v>
      </c>
      <c r="H216" s="31">
        <v>600</v>
      </c>
      <c r="I216" s="19">
        <f t="shared" si="7"/>
        <v>60000</v>
      </c>
    </row>
    <row r="217" spans="1:9" x14ac:dyDescent="0.3">
      <c r="A217" s="28" t="s">
        <v>46</v>
      </c>
      <c r="B217" s="28">
        <v>42</v>
      </c>
      <c r="C217" s="28"/>
      <c r="D217" s="29">
        <f t="shared" si="6"/>
        <v>42</v>
      </c>
      <c r="E217" s="28"/>
      <c r="F217" s="28"/>
      <c r="G217" s="29">
        <f t="shared" si="4"/>
        <v>42</v>
      </c>
      <c r="H217" s="30">
        <v>400</v>
      </c>
      <c r="I217" s="19">
        <f t="shared" si="7"/>
        <v>16800</v>
      </c>
    </row>
    <row r="218" spans="1:9" x14ac:dyDescent="0.3">
      <c r="A218" s="28" t="s">
        <v>47</v>
      </c>
      <c r="B218" s="28">
        <v>33</v>
      </c>
      <c r="C218" s="28"/>
      <c r="D218" s="29">
        <f t="shared" si="6"/>
        <v>33</v>
      </c>
      <c r="E218" s="28"/>
      <c r="F218" s="28"/>
      <c r="G218" s="29">
        <f t="shared" si="4"/>
        <v>33</v>
      </c>
      <c r="H218" s="31">
        <v>500</v>
      </c>
      <c r="I218" s="19">
        <f t="shared" si="7"/>
        <v>16500</v>
      </c>
    </row>
    <row r="219" spans="1:9" x14ac:dyDescent="0.3">
      <c r="A219" s="28" t="s">
        <v>49</v>
      </c>
      <c r="B219" s="28">
        <v>1</v>
      </c>
      <c r="C219" s="28"/>
      <c r="D219" s="29">
        <f t="shared" si="6"/>
        <v>1</v>
      </c>
      <c r="E219" s="28"/>
      <c r="F219" s="28"/>
      <c r="G219" s="29">
        <f t="shared" si="4"/>
        <v>1</v>
      </c>
      <c r="H219" s="30">
        <v>650</v>
      </c>
      <c r="I219" s="19">
        <f t="shared" si="7"/>
        <v>650</v>
      </c>
    </row>
    <row r="220" spans="1:9" x14ac:dyDescent="0.3">
      <c r="A220" s="28" t="s">
        <v>48</v>
      </c>
      <c r="B220" s="28">
        <v>4</v>
      </c>
      <c r="C220" s="28"/>
      <c r="D220" s="29">
        <f t="shared" si="6"/>
        <v>4</v>
      </c>
      <c r="E220" s="28"/>
      <c r="F220" s="28"/>
      <c r="G220" s="29">
        <f t="shared" si="4"/>
        <v>4</v>
      </c>
      <c r="H220" s="30">
        <v>1400</v>
      </c>
      <c r="I220" s="19">
        <f t="shared" si="7"/>
        <v>5600</v>
      </c>
    </row>
    <row r="221" spans="1:9" x14ac:dyDescent="0.3">
      <c r="A221" s="28" t="s">
        <v>50</v>
      </c>
      <c r="B221" s="28">
        <v>10</v>
      </c>
      <c r="C221" s="28"/>
      <c r="D221" s="29">
        <f t="shared" si="6"/>
        <v>10</v>
      </c>
      <c r="E221" s="28"/>
      <c r="F221" s="28"/>
      <c r="G221" s="29">
        <f t="shared" si="4"/>
        <v>10</v>
      </c>
      <c r="H221" s="30">
        <v>200</v>
      </c>
      <c r="I221" s="19">
        <f t="shared" si="7"/>
        <v>2000</v>
      </c>
    </row>
    <row r="222" spans="1:9" x14ac:dyDescent="0.3">
      <c r="A222" s="28"/>
      <c r="B222" s="28"/>
      <c r="C222" s="28"/>
      <c r="D222" s="29">
        <f t="shared" si="6"/>
        <v>0</v>
      </c>
      <c r="E222" s="28"/>
      <c r="F222" s="28"/>
      <c r="G222" s="29">
        <f t="shared" si="4"/>
        <v>0</v>
      </c>
      <c r="H222" s="30">
        <v>100</v>
      </c>
      <c r="I222" s="19">
        <f t="shared" si="7"/>
        <v>0</v>
      </c>
    </row>
    <row r="223" spans="1:9" x14ac:dyDescent="0.3">
      <c r="A223" s="28" t="s">
        <v>52</v>
      </c>
      <c r="B223" s="28">
        <v>10</v>
      </c>
      <c r="C223" s="28"/>
      <c r="D223" s="29">
        <f t="shared" si="6"/>
        <v>10</v>
      </c>
      <c r="E223" s="28"/>
      <c r="F223" s="28"/>
      <c r="G223" s="29">
        <f t="shared" si="4"/>
        <v>10</v>
      </c>
      <c r="H223" s="30">
        <v>950</v>
      </c>
      <c r="I223" s="19">
        <f t="shared" si="7"/>
        <v>9500</v>
      </c>
    </row>
    <row r="224" spans="1:9" x14ac:dyDescent="0.3">
      <c r="A224" s="28" t="s">
        <v>53</v>
      </c>
      <c r="B224" s="28">
        <v>35</v>
      </c>
      <c r="C224" s="28"/>
      <c r="D224" s="29">
        <f t="shared" si="6"/>
        <v>35</v>
      </c>
      <c r="E224" s="28"/>
      <c r="F224" s="28"/>
      <c r="G224" s="29">
        <f t="shared" ref="G224:G337" si="8">D224-E224-F224</f>
        <v>35</v>
      </c>
      <c r="H224" s="31">
        <v>850</v>
      </c>
      <c r="I224" s="19">
        <f t="shared" si="7"/>
        <v>29750</v>
      </c>
    </row>
    <row r="225" spans="1:9" x14ac:dyDescent="0.3">
      <c r="A225" s="28" t="s">
        <v>54</v>
      </c>
      <c r="B225" s="28"/>
      <c r="C225" s="28"/>
      <c r="D225" s="29">
        <f t="shared" si="6"/>
        <v>0</v>
      </c>
      <c r="E225" s="28"/>
      <c r="F225" s="28"/>
      <c r="G225" s="29">
        <f t="shared" si="8"/>
        <v>0</v>
      </c>
      <c r="H225" s="30"/>
      <c r="I225" s="19">
        <f t="shared" si="7"/>
        <v>0</v>
      </c>
    </row>
    <row r="226" spans="1:9" x14ac:dyDescent="0.3">
      <c r="A226" s="28" t="s">
        <v>233</v>
      </c>
      <c r="B226" s="28"/>
      <c r="C226" s="28"/>
      <c r="D226" s="29">
        <f t="shared" si="6"/>
        <v>0</v>
      </c>
      <c r="E226" s="28"/>
      <c r="F226" s="28"/>
      <c r="G226" s="29">
        <f t="shared" si="8"/>
        <v>0</v>
      </c>
      <c r="H226" s="33">
        <v>1100</v>
      </c>
      <c r="I226" s="19">
        <f t="shared" si="7"/>
        <v>0</v>
      </c>
    </row>
    <row r="227" spans="1:9" x14ac:dyDescent="0.3">
      <c r="A227" s="28" t="s">
        <v>67</v>
      </c>
      <c r="B227" s="28">
        <v>26</v>
      </c>
      <c r="C227" s="28"/>
      <c r="D227" s="29">
        <f t="shared" si="6"/>
        <v>26</v>
      </c>
      <c r="E227" s="28"/>
      <c r="F227" s="28"/>
      <c r="G227" s="29">
        <f t="shared" si="8"/>
        <v>26</v>
      </c>
      <c r="H227" s="30">
        <v>500</v>
      </c>
      <c r="I227" s="19">
        <f t="shared" si="7"/>
        <v>13000</v>
      </c>
    </row>
    <row r="228" spans="1:9" x14ac:dyDescent="0.3">
      <c r="A228" s="28" t="s">
        <v>71</v>
      </c>
      <c r="B228" s="28">
        <v>10</v>
      </c>
      <c r="C228" s="28"/>
      <c r="D228" s="29">
        <f t="shared" si="6"/>
        <v>10</v>
      </c>
      <c r="E228" s="28"/>
      <c r="F228" s="28"/>
      <c r="G228" s="29">
        <f t="shared" si="8"/>
        <v>10</v>
      </c>
      <c r="H228" s="31">
        <v>700</v>
      </c>
      <c r="I228" s="19">
        <f t="shared" si="7"/>
        <v>7000</v>
      </c>
    </row>
    <row r="229" spans="1:9" x14ac:dyDescent="0.3">
      <c r="A229" s="28" t="s">
        <v>72</v>
      </c>
      <c r="B229" s="28">
        <v>15</v>
      </c>
      <c r="C229" s="28"/>
      <c r="D229" s="29">
        <f t="shared" si="6"/>
        <v>15</v>
      </c>
      <c r="E229" s="28"/>
      <c r="F229" s="28"/>
      <c r="G229" s="29">
        <f t="shared" si="8"/>
        <v>15</v>
      </c>
      <c r="H229" s="30">
        <v>250</v>
      </c>
      <c r="I229" s="19">
        <f t="shared" si="7"/>
        <v>3750</v>
      </c>
    </row>
    <row r="230" spans="1:9" x14ac:dyDescent="0.3">
      <c r="A230" s="28" t="s">
        <v>73</v>
      </c>
      <c r="B230" s="28">
        <v>26</v>
      </c>
      <c r="C230" s="28"/>
      <c r="D230" s="29">
        <f t="shared" si="6"/>
        <v>26</v>
      </c>
      <c r="E230" s="28"/>
      <c r="F230" s="28"/>
      <c r="G230" s="29">
        <f t="shared" si="8"/>
        <v>26</v>
      </c>
      <c r="H230" s="30">
        <v>600</v>
      </c>
      <c r="I230" s="19">
        <f t="shared" si="7"/>
        <v>15600</v>
      </c>
    </row>
    <row r="231" spans="1:9" x14ac:dyDescent="0.3">
      <c r="A231" s="28" t="s">
        <v>75</v>
      </c>
      <c r="B231" s="28">
        <v>3</v>
      </c>
      <c r="C231" s="28"/>
      <c r="D231" s="29">
        <f t="shared" si="6"/>
        <v>3</v>
      </c>
      <c r="E231" s="28"/>
      <c r="F231" s="28"/>
      <c r="G231" s="29">
        <f t="shared" si="8"/>
        <v>3</v>
      </c>
      <c r="H231" s="31">
        <v>150</v>
      </c>
      <c r="I231" s="19">
        <f t="shared" si="7"/>
        <v>450</v>
      </c>
    </row>
    <row r="232" spans="1:9" x14ac:dyDescent="0.3">
      <c r="A232" s="28" t="s">
        <v>76</v>
      </c>
      <c r="B232" s="28">
        <v>57</v>
      </c>
      <c r="C232" s="28"/>
      <c r="D232" s="29">
        <f t="shared" si="6"/>
        <v>57</v>
      </c>
      <c r="E232" s="28"/>
      <c r="F232" s="28"/>
      <c r="G232" s="29">
        <f t="shared" si="8"/>
        <v>57</v>
      </c>
      <c r="H232" s="31">
        <v>700</v>
      </c>
      <c r="I232" s="19">
        <f t="shared" si="7"/>
        <v>39900</v>
      </c>
    </row>
    <row r="233" spans="1:9" x14ac:dyDescent="0.3">
      <c r="A233" s="28" t="s">
        <v>74</v>
      </c>
      <c r="B233" s="28">
        <v>5</v>
      </c>
      <c r="C233" s="28"/>
      <c r="D233" s="29">
        <f t="shared" si="6"/>
        <v>5</v>
      </c>
      <c r="E233" s="28"/>
      <c r="F233" s="28"/>
      <c r="G233" s="29">
        <f t="shared" si="8"/>
        <v>5</v>
      </c>
      <c r="H233" s="31">
        <v>300</v>
      </c>
      <c r="I233" s="19">
        <f t="shared" si="7"/>
        <v>1500</v>
      </c>
    </row>
    <row r="234" spans="1:9" x14ac:dyDescent="0.3">
      <c r="A234" s="28" t="s">
        <v>78</v>
      </c>
      <c r="B234" s="28">
        <v>3</v>
      </c>
      <c r="C234" s="28"/>
      <c r="D234" s="29">
        <f t="shared" si="6"/>
        <v>3</v>
      </c>
      <c r="E234" s="28"/>
      <c r="F234" s="28"/>
      <c r="G234" s="29">
        <f t="shared" si="8"/>
        <v>3</v>
      </c>
      <c r="H234" s="30">
        <v>200</v>
      </c>
      <c r="I234" s="19">
        <f t="shared" si="7"/>
        <v>600</v>
      </c>
    </row>
    <row r="235" spans="1:9" x14ac:dyDescent="0.3">
      <c r="A235" s="28" t="s">
        <v>316</v>
      </c>
      <c r="B235" s="28">
        <v>3</v>
      </c>
      <c r="C235" s="28"/>
      <c r="D235" s="29">
        <f t="shared" si="6"/>
        <v>3</v>
      </c>
      <c r="E235" s="28"/>
      <c r="F235" s="28"/>
      <c r="G235" s="29">
        <f t="shared" si="8"/>
        <v>3</v>
      </c>
      <c r="H235" s="32">
        <v>400</v>
      </c>
      <c r="I235" s="19">
        <f t="shared" si="7"/>
        <v>1200</v>
      </c>
    </row>
    <row r="236" spans="1:9" x14ac:dyDescent="0.3">
      <c r="A236" s="28" t="s">
        <v>77</v>
      </c>
      <c r="B236" s="28">
        <v>70</v>
      </c>
      <c r="C236" s="28"/>
      <c r="D236" s="29">
        <f t="shared" si="6"/>
        <v>70</v>
      </c>
      <c r="E236" s="28"/>
      <c r="F236" s="28"/>
      <c r="G236" s="29">
        <f t="shared" si="8"/>
        <v>70</v>
      </c>
      <c r="H236" s="31">
        <v>350</v>
      </c>
      <c r="I236" s="19">
        <f t="shared" si="7"/>
        <v>24500</v>
      </c>
    </row>
    <row r="237" spans="1:9" x14ac:dyDescent="0.3">
      <c r="A237" s="28" t="s">
        <v>80</v>
      </c>
      <c r="B237" s="28">
        <v>74</v>
      </c>
      <c r="C237" s="28"/>
      <c r="D237" s="29">
        <f t="shared" si="6"/>
        <v>74</v>
      </c>
      <c r="E237" s="28"/>
      <c r="F237" s="28"/>
      <c r="G237" s="29">
        <f t="shared" si="8"/>
        <v>74</v>
      </c>
      <c r="H237" s="31">
        <v>190</v>
      </c>
      <c r="I237" s="19">
        <f t="shared" si="7"/>
        <v>14060</v>
      </c>
    </row>
    <row r="238" spans="1:9" x14ac:dyDescent="0.3">
      <c r="A238" s="28"/>
      <c r="B238" s="28"/>
      <c r="C238" s="28"/>
      <c r="D238" s="29">
        <f t="shared" si="6"/>
        <v>0</v>
      </c>
      <c r="E238" s="28"/>
      <c r="F238" s="28"/>
      <c r="G238" s="29">
        <f t="shared" si="8"/>
        <v>0</v>
      </c>
      <c r="H238" s="31">
        <v>600</v>
      </c>
      <c r="I238" s="19">
        <f t="shared" si="7"/>
        <v>0</v>
      </c>
    </row>
    <row r="239" spans="1:9" x14ac:dyDescent="0.3">
      <c r="A239" s="28" t="s">
        <v>154</v>
      </c>
      <c r="B239" s="28">
        <v>30</v>
      </c>
      <c r="C239" s="28"/>
      <c r="D239" s="29">
        <f t="shared" si="6"/>
        <v>30</v>
      </c>
      <c r="E239" s="28"/>
      <c r="F239" s="28"/>
      <c r="G239" s="29">
        <f t="shared" si="8"/>
        <v>30</v>
      </c>
      <c r="H239" s="33">
        <v>500</v>
      </c>
      <c r="I239" s="19">
        <f t="shared" si="7"/>
        <v>15000</v>
      </c>
    </row>
    <row r="240" spans="1:9" x14ac:dyDescent="0.3">
      <c r="A240" s="28" t="s">
        <v>155</v>
      </c>
      <c r="B240" s="28"/>
      <c r="C240" s="28"/>
      <c r="D240" s="29">
        <f t="shared" si="6"/>
        <v>0</v>
      </c>
      <c r="E240" s="28"/>
      <c r="F240" s="28"/>
      <c r="G240" s="29">
        <f t="shared" si="8"/>
        <v>0</v>
      </c>
      <c r="H240" s="33">
        <v>300</v>
      </c>
      <c r="I240" s="19">
        <f t="shared" si="7"/>
        <v>0</v>
      </c>
    </row>
    <row r="241" spans="1:9" x14ac:dyDescent="0.3">
      <c r="A241" s="28" t="s">
        <v>171</v>
      </c>
      <c r="B241" s="28"/>
      <c r="C241" s="28"/>
      <c r="D241" s="29">
        <f t="shared" si="6"/>
        <v>0</v>
      </c>
      <c r="E241" s="28"/>
      <c r="F241" s="28"/>
      <c r="G241" s="29">
        <f t="shared" si="8"/>
        <v>0</v>
      </c>
      <c r="H241" s="33">
        <v>100</v>
      </c>
      <c r="I241" s="19">
        <f t="shared" si="7"/>
        <v>0</v>
      </c>
    </row>
    <row r="242" spans="1:9" x14ac:dyDescent="0.3">
      <c r="A242" s="28" t="s">
        <v>172</v>
      </c>
      <c r="B242" s="28"/>
      <c r="C242" s="28"/>
      <c r="D242" s="29">
        <f t="shared" si="6"/>
        <v>0</v>
      </c>
      <c r="E242" s="28"/>
      <c r="F242" s="28"/>
      <c r="G242" s="29">
        <f t="shared" si="8"/>
        <v>0</v>
      </c>
      <c r="H242" s="33">
        <v>100</v>
      </c>
      <c r="I242" s="19"/>
    </row>
    <row r="243" spans="1:9" x14ac:dyDescent="0.3">
      <c r="A243" s="28" t="s">
        <v>173</v>
      </c>
      <c r="B243" s="28"/>
      <c r="C243" s="28"/>
      <c r="D243" s="29">
        <f t="shared" ref="D243:D330" si="9">B243+C243</f>
        <v>0</v>
      </c>
      <c r="E243" s="28"/>
      <c r="F243" s="28"/>
      <c r="G243" s="29">
        <f t="shared" si="8"/>
        <v>0</v>
      </c>
      <c r="H243" s="33">
        <v>300</v>
      </c>
      <c r="I243" s="19">
        <f t="shared" si="7"/>
        <v>0</v>
      </c>
    </row>
    <row r="244" spans="1:9" x14ac:dyDescent="0.3">
      <c r="A244" s="28" t="s">
        <v>200</v>
      </c>
      <c r="B244" s="28"/>
      <c r="C244" s="28"/>
      <c r="D244" s="29">
        <f t="shared" si="9"/>
        <v>0</v>
      </c>
      <c r="E244" s="28"/>
      <c r="F244" s="28"/>
      <c r="G244" s="29">
        <f t="shared" si="8"/>
        <v>0</v>
      </c>
      <c r="H244" s="33">
        <v>850</v>
      </c>
      <c r="I244" s="19">
        <f t="shared" si="7"/>
        <v>0</v>
      </c>
    </row>
    <row r="245" spans="1:9" x14ac:dyDescent="0.3">
      <c r="A245" s="28" t="s">
        <v>370</v>
      </c>
      <c r="B245" s="28"/>
      <c r="C245" s="28"/>
      <c r="D245" s="29">
        <f t="shared" si="9"/>
        <v>0</v>
      </c>
      <c r="E245" s="28"/>
      <c r="F245" s="28"/>
      <c r="G245" s="29">
        <f t="shared" si="8"/>
        <v>0</v>
      </c>
      <c r="H245" s="33">
        <v>3000</v>
      </c>
      <c r="I245" s="19">
        <f t="shared" si="7"/>
        <v>0</v>
      </c>
    </row>
    <row r="246" spans="1:9" x14ac:dyDescent="0.3">
      <c r="A246" s="28" t="s">
        <v>75</v>
      </c>
      <c r="B246" s="28"/>
      <c r="C246" s="28"/>
      <c r="D246" s="29">
        <f t="shared" si="9"/>
        <v>0</v>
      </c>
      <c r="E246" s="28"/>
      <c r="F246" s="28"/>
      <c r="G246" s="29">
        <f t="shared" si="8"/>
        <v>0</v>
      </c>
      <c r="H246" s="30">
        <v>300</v>
      </c>
      <c r="I246" s="19">
        <f t="shared" si="7"/>
        <v>0</v>
      </c>
    </row>
    <row r="247" spans="1:9" x14ac:dyDescent="0.3">
      <c r="A247" s="28" t="s">
        <v>307</v>
      </c>
      <c r="B247" s="28"/>
      <c r="C247" s="28"/>
      <c r="D247" s="29">
        <f t="shared" si="9"/>
        <v>0</v>
      </c>
      <c r="E247" s="28"/>
      <c r="F247" s="28"/>
      <c r="G247" s="29">
        <f t="shared" si="8"/>
        <v>0</v>
      </c>
      <c r="H247" s="30">
        <v>850</v>
      </c>
      <c r="I247" s="19">
        <f t="shared" si="7"/>
        <v>0</v>
      </c>
    </row>
    <row r="248" spans="1:9" x14ac:dyDescent="0.3">
      <c r="A248" s="28" t="s">
        <v>279</v>
      </c>
      <c r="B248" s="28"/>
      <c r="C248" s="28"/>
      <c r="D248" s="29">
        <f t="shared" si="9"/>
        <v>0</v>
      </c>
      <c r="E248" s="28"/>
      <c r="F248" s="28"/>
      <c r="G248" s="29">
        <f t="shared" si="8"/>
        <v>0</v>
      </c>
      <c r="H248" s="30">
        <v>650</v>
      </c>
      <c r="I248" s="19">
        <f t="shared" si="7"/>
        <v>0</v>
      </c>
    </row>
    <row r="249" spans="1:9" x14ac:dyDescent="0.3">
      <c r="A249" s="28" t="s">
        <v>222</v>
      </c>
      <c r="B249" s="28"/>
      <c r="C249" s="28"/>
      <c r="D249" s="29">
        <f>B249+C249</f>
        <v>0</v>
      </c>
      <c r="E249" s="28"/>
      <c r="F249" s="28"/>
      <c r="G249" s="29">
        <f t="shared" si="8"/>
        <v>0</v>
      </c>
      <c r="H249" s="30">
        <v>1100</v>
      </c>
      <c r="I249" s="19">
        <f t="shared" si="7"/>
        <v>0</v>
      </c>
    </row>
    <row r="250" spans="1:9" x14ac:dyDescent="0.3">
      <c r="A250" s="28" t="s">
        <v>371</v>
      </c>
      <c r="B250" s="28"/>
      <c r="C250" s="28"/>
      <c r="D250" s="29">
        <f t="shared" si="9"/>
        <v>0</v>
      </c>
      <c r="E250" s="28"/>
      <c r="F250" s="28"/>
      <c r="G250" s="29">
        <f t="shared" si="8"/>
        <v>0</v>
      </c>
      <c r="H250" s="30">
        <v>600</v>
      </c>
      <c r="I250" s="19">
        <f t="shared" si="7"/>
        <v>0</v>
      </c>
    </row>
    <row r="251" spans="1:9" x14ac:dyDescent="0.3">
      <c r="A251" s="28" t="s">
        <v>188</v>
      </c>
      <c r="B251" s="28">
        <v>24</v>
      </c>
      <c r="C251" s="28"/>
      <c r="D251" s="29">
        <f t="shared" si="9"/>
        <v>24</v>
      </c>
      <c r="E251" s="28"/>
      <c r="F251" s="28"/>
      <c r="G251" s="29">
        <f t="shared" si="8"/>
        <v>24</v>
      </c>
      <c r="H251" s="30">
        <v>1400</v>
      </c>
      <c r="I251" s="19">
        <f t="shared" si="7"/>
        <v>33600</v>
      </c>
    </row>
    <row r="252" spans="1:9" x14ac:dyDescent="0.3">
      <c r="A252" s="28" t="s">
        <v>230</v>
      </c>
      <c r="B252" s="28">
        <v>10</v>
      </c>
      <c r="C252" s="28"/>
      <c r="D252" s="29">
        <f t="shared" si="9"/>
        <v>10</v>
      </c>
      <c r="E252" s="28"/>
      <c r="F252" s="28"/>
      <c r="G252" s="29">
        <f t="shared" si="8"/>
        <v>10</v>
      </c>
      <c r="H252" s="30">
        <v>800</v>
      </c>
      <c r="I252" s="19">
        <f t="shared" si="7"/>
        <v>8000</v>
      </c>
    </row>
    <row r="253" spans="1:9" x14ac:dyDescent="0.3">
      <c r="A253" s="28" t="s">
        <v>245</v>
      </c>
      <c r="B253" s="28"/>
      <c r="C253" s="28"/>
      <c r="D253" s="29">
        <f t="shared" si="9"/>
        <v>0</v>
      </c>
      <c r="E253" s="28"/>
      <c r="F253" s="28"/>
      <c r="G253" s="29">
        <f t="shared" si="8"/>
        <v>0</v>
      </c>
      <c r="H253" s="30">
        <v>750</v>
      </c>
      <c r="I253" s="19">
        <f t="shared" si="7"/>
        <v>0</v>
      </c>
    </row>
    <row r="254" spans="1:9" x14ac:dyDescent="0.3">
      <c r="A254" s="28" t="s">
        <v>250</v>
      </c>
      <c r="B254" s="28"/>
      <c r="C254" s="28"/>
      <c r="D254" s="29">
        <f t="shared" si="9"/>
        <v>0</v>
      </c>
      <c r="E254" s="28"/>
      <c r="F254" s="28"/>
      <c r="G254" s="29"/>
      <c r="H254" s="30">
        <v>1300</v>
      </c>
      <c r="I254" s="19">
        <f t="shared" si="7"/>
        <v>0</v>
      </c>
    </row>
    <row r="255" spans="1:9" x14ac:dyDescent="0.3">
      <c r="A255" s="28" t="s">
        <v>251</v>
      </c>
      <c r="B255" s="28"/>
      <c r="C255" s="28"/>
      <c r="D255" s="29">
        <f t="shared" si="9"/>
        <v>0</v>
      </c>
      <c r="E255" s="28"/>
      <c r="F255" s="28"/>
      <c r="G255" s="29">
        <f t="shared" si="8"/>
        <v>0</v>
      </c>
      <c r="H255" s="30">
        <v>850</v>
      </c>
      <c r="I255" s="19">
        <f t="shared" si="7"/>
        <v>0</v>
      </c>
    </row>
    <row r="256" spans="1:9" x14ac:dyDescent="0.3">
      <c r="A256" s="28" t="s">
        <v>372</v>
      </c>
      <c r="B256" s="28"/>
      <c r="C256" s="28"/>
      <c r="D256" s="29">
        <f t="shared" si="9"/>
        <v>0</v>
      </c>
      <c r="E256" s="28"/>
      <c r="F256" s="28"/>
      <c r="G256" s="29">
        <f t="shared" si="8"/>
        <v>0</v>
      </c>
      <c r="H256" s="30">
        <v>520</v>
      </c>
      <c r="I256" s="19">
        <f t="shared" si="7"/>
        <v>0</v>
      </c>
    </row>
    <row r="257" spans="1:9" x14ac:dyDescent="0.3">
      <c r="A257" s="28" t="s">
        <v>118</v>
      </c>
      <c r="B257" s="28"/>
      <c r="C257" s="28"/>
      <c r="D257" s="29">
        <f t="shared" si="9"/>
        <v>0</v>
      </c>
      <c r="E257" s="28"/>
      <c r="F257" s="28"/>
      <c r="G257" s="29">
        <f t="shared" si="8"/>
        <v>0</v>
      </c>
      <c r="H257" s="30">
        <v>500</v>
      </c>
      <c r="I257" s="19">
        <f t="shared" si="7"/>
        <v>0</v>
      </c>
    </row>
    <row r="258" spans="1:9" x14ac:dyDescent="0.3">
      <c r="A258" s="28" t="s">
        <v>118</v>
      </c>
      <c r="B258" s="28"/>
      <c r="C258" s="28"/>
      <c r="D258" s="29">
        <f t="shared" si="9"/>
        <v>0</v>
      </c>
      <c r="E258" s="28"/>
      <c r="F258" s="28"/>
      <c r="G258" s="29">
        <f t="shared" si="8"/>
        <v>0</v>
      </c>
      <c r="H258" s="30">
        <v>800</v>
      </c>
      <c r="I258" s="19">
        <f t="shared" si="7"/>
        <v>0</v>
      </c>
    </row>
    <row r="259" spans="1:9" x14ac:dyDescent="0.3">
      <c r="A259" s="28" t="s">
        <v>321</v>
      </c>
      <c r="B259" s="28"/>
      <c r="C259" s="28"/>
      <c r="D259" s="29">
        <f t="shared" si="9"/>
        <v>0</v>
      </c>
      <c r="E259" s="28"/>
      <c r="F259" s="28"/>
      <c r="G259" s="29">
        <f t="shared" si="8"/>
        <v>0</v>
      </c>
      <c r="H259" s="30">
        <v>550</v>
      </c>
      <c r="I259" s="19">
        <f t="shared" si="7"/>
        <v>0</v>
      </c>
    </row>
    <row r="260" spans="1:9" x14ac:dyDescent="0.3">
      <c r="A260" s="28" t="s">
        <v>413</v>
      </c>
      <c r="B260" s="28"/>
      <c r="C260" s="28"/>
      <c r="D260" s="29">
        <f t="shared" si="9"/>
        <v>0</v>
      </c>
      <c r="E260" s="28"/>
      <c r="F260" s="28"/>
      <c r="G260" s="29">
        <f t="shared" si="8"/>
        <v>0</v>
      </c>
      <c r="H260" s="30">
        <v>350</v>
      </c>
      <c r="I260" s="19">
        <f t="shared" si="7"/>
        <v>0</v>
      </c>
    </row>
    <row r="261" spans="1:9" x14ac:dyDescent="0.3">
      <c r="A261" s="28" t="s">
        <v>339</v>
      </c>
      <c r="B261" s="28"/>
      <c r="C261" s="28"/>
      <c r="D261" s="29">
        <f t="shared" si="9"/>
        <v>0</v>
      </c>
      <c r="E261" s="28"/>
      <c r="F261" s="28"/>
      <c r="G261" s="29">
        <f t="shared" si="8"/>
        <v>0</v>
      </c>
      <c r="H261" s="30">
        <v>400</v>
      </c>
      <c r="I261" s="19">
        <f t="shared" si="7"/>
        <v>0</v>
      </c>
    </row>
    <row r="262" spans="1:9" x14ac:dyDescent="0.3">
      <c r="A262" s="24" t="s">
        <v>3</v>
      </c>
      <c r="B262" s="28"/>
      <c r="C262" s="28"/>
      <c r="D262" s="29">
        <f t="shared" si="9"/>
        <v>0</v>
      </c>
      <c r="E262" s="28"/>
      <c r="F262" s="28"/>
      <c r="G262" s="29">
        <f t="shared" si="8"/>
        <v>0</v>
      </c>
      <c r="H262" s="30"/>
      <c r="I262" s="19">
        <f t="shared" si="7"/>
        <v>0</v>
      </c>
    </row>
    <row r="263" spans="1:9" x14ac:dyDescent="0.3">
      <c r="A263" s="28" t="s">
        <v>55</v>
      </c>
      <c r="B263" s="28">
        <v>81</v>
      </c>
      <c r="C263" s="28"/>
      <c r="D263" s="29">
        <f t="shared" si="9"/>
        <v>81</v>
      </c>
      <c r="E263" s="28"/>
      <c r="F263" s="28"/>
      <c r="G263" s="29">
        <f t="shared" si="8"/>
        <v>81</v>
      </c>
      <c r="H263" s="30">
        <v>800</v>
      </c>
      <c r="I263" s="19">
        <f t="shared" si="7"/>
        <v>64800</v>
      </c>
    </row>
    <row r="264" spans="1:9" x14ac:dyDescent="0.3">
      <c r="A264" s="28" t="s">
        <v>360</v>
      </c>
      <c r="B264" s="28">
        <v>1</v>
      </c>
      <c r="C264" s="28"/>
      <c r="D264" s="29">
        <f t="shared" si="9"/>
        <v>1</v>
      </c>
      <c r="E264" s="28"/>
      <c r="F264" s="28"/>
      <c r="G264" s="29">
        <f t="shared" si="8"/>
        <v>1</v>
      </c>
      <c r="H264" s="30">
        <v>800</v>
      </c>
      <c r="I264" s="19">
        <f t="shared" si="7"/>
        <v>800</v>
      </c>
    </row>
    <row r="265" spans="1:9" x14ac:dyDescent="0.3">
      <c r="A265" s="28" t="s">
        <v>56</v>
      </c>
      <c r="B265" s="28"/>
      <c r="C265" s="28"/>
      <c r="D265" s="29">
        <f t="shared" si="9"/>
        <v>0</v>
      </c>
      <c r="E265" s="28"/>
      <c r="F265" s="28"/>
      <c r="G265" s="29">
        <f t="shared" si="8"/>
        <v>0</v>
      </c>
      <c r="H265" s="30">
        <v>800</v>
      </c>
      <c r="I265" s="19">
        <f t="shared" si="7"/>
        <v>0</v>
      </c>
    </row>
    <row r="266" spans="1:9" x14ac:dyDescent="0.3">
      <c r="A266" s="28" t="s">
        <v>57</v>
      </c>
      <c r="B266" s="28">
        <v>50</v>
      </c>
      <c r="C266" s="28"/>
      <c r="D266" s="29">
        <f t="shared" si="9"/>
        <v>50</v>
      </c>
      <c r="E266" s="28"/>
      <c r="F266" s="28"/>
      <c r="G266" s="29">
        <f t="shared" si="8"/>
        <v>50</v>
      </c>
      <c r="H266" s="31">
        <v>700</v>
      </c>
      <c r="I266" s="19">
        <f t="shared" si="7"/>
        <v>35000</v>
      </c>
    </row>
    <row r="267" spans="1:9" x14ac:dyDescent="0.3">
      <c r="A267" s="28" t="s">
        <v>293</v>
      </c>
      <c r="B267" s="28">
        <v>4</v>
      </c>
      <c r="C267" s="28"/>
      <c r="D267" s="29">
        <f t="shared" si="9"/>
        <v>4</v>
      </c>
      <c r="E267" s="28"/>
      <c r="F267" s="28"/>
      <c r="G267" s="29">
        <f t="shared" si="8"/>
        <v>4</v>
      </c>
      <c r="H267" s="31">
        <v>700</v>
      </c>
      <c r="I267" s="19">
        <f t="shared" si="7"/>
        <v>2800</v>
      </c>
    </row>
    <row r="268" spans="1:9" x14ac:dyDescent="0.3">
      <c r="A268" s="28" t="s">
        <v>294</v>
      </c>
      <c r="B268" s="28">
        <v>38</v>
      </c>
      <c r="C268" s="28"/>
      <c r="D268" s="29">
        <f t="shared" si="9"/>
        <v>38</v>
      </c>
      <c r="E268" s="28"/>
      <c r="F268" s="28"/>
      <c r="G268" s="29">
        <f t="shared" si="8"/>
        <v>38</v>
      </c>
      <c r="H268" s="31">
        <v>700</v>
      </c>
      <c r="I268" s="19">
        <f t="shared" si="7"/>
        <v>26600</v>
      </c>
    </row>
    <row r="269" spans="1:9" x14ac:dyDescent="0.3">
      <c r="A269" s="28" t="s">
        <v>58</v>
      </c>
      <c r="B269" s="28">
        <v>40</v>
      </c>
      <c r="C269" s="28"/>
      <c r="D269" s="29">
        <f t="shared" si="9"/>
        <v>40</v>
      </c>
      <c r="E269" s="28"/>
      <c r="F269" s="28"/>
      <c r="G269" s="29">
        <f t="shared" si="8"/>
        <v>40</v>
      </c>
      <c r="H269" s="31">
        <v>400</v>
      </c>
      <c r="I269" s="19">
        <f t="shared" si="7"/>
        <v>16000</v>
      </c>
    </row>
    <row r="270" spans="1:9" x14ac:dyDescent="0.3">
      <c r="A270" s="28" t="s">
        <v>59</v>
      </c>
      <c r="B270" s="28">
        <v>66</v>
      </c>
      <c r="C270" s="28"/>
      <c r="D270" s="29">
        <f t="shared" si="9"/>
        <v>66</v>
      </c>
      <c r="E270" s="28"/>
      <c r="F270" s="28"/>
      <c r="G270" s="29">
        <f t="shared" si="8"/>
        <v>66</v>
      </c>
      <c r="H270" s="31">
        <v>400</v>
      </c>
      <c r="I270" s="19">
        <f t="shared" si="7"/>
        <v>26400</v>
      </c>
    </row>
    <row r="271" spans="1:9" x14ac:dyDescent="0.3">
      <c r="A271" s="28" t="s">
        <v>60</v>
      </c>
      <c r="B271" s="28">
        <v>21</v>
      </c>
      <c r="C271" s="28"/>
      <c r="D271" s="29">
        <f t="shared" si="9"/>
        <v>21</v>
      </c>
      <c r="E271" s="28"/>
      <c r="F271" s="28"/>
      <c r="G271" s="29">
        <f t="shared" si="8"/>
        <v>21</v>
      </c>
      <c r="H271" s="30">
        <v>600</v>
      </c>
      <c r="I271" s="19">
        <f t="shared" si="7"/>
        <v>12600</v>
      </c>
    </row>
    <row r="272" spans="1:9" x14ac:dyDescent="0.3">
      <c r="A272" s="28" t="s">
        <v>61</v>
      </c>
      <c r="B272" s="28">
        <v>10</v>
      </c>
      <c r="C272" s="28"/>
      <c r="D272" s="29">
        <f t="shared" si="9"/>
        <v>10</v>
      </c>
      <c r="E272" s="28"/>
      <c r="F272" s="28"/>
      <c r="G272" s="29">
        <f t="shared" si="8"/>
        <v>10</v>
      </c>
      <c r="H272" s="30">
        <v>740</v>
      </c>
      <c r="I272" s="19">
        <f t="shared" si="7"/>
        <v>7400</v>
      </c>
    </row>
    <row r="273" spans="1:9" x14ac:dyDescent="0.3">
      <c r="A273" s="28" t="s">
        <v>62</v>
      </c>
      <c r="B273" s="28">
        <v>9</v>
      </c>
      <c r="C273" s="28"/>
      <c r="D273" s="29">
        <f t="shared" si="9"/>
        <v>9</v>
      </c>
      <c r="E273" s="28"/>
      <c r="F273" s="28"/>
      <c r="G273" s="29">
        <f t="shared" si="8"/>
        <v>9</v>
      </c>
      <c r="H273" s="30">
        <v>700</v>
      </c>
      <c r="I273" s="19">
        <f t="shared" si="7"/>
        <v>6300</v>
      </c>
    </row>
    <row r="274" spans="1:9" x14ac:dyDescent="0.3">
      <c r="A274" s="28" t="s">
        <v>68</v>
      </c>
      <c r="B274" s="28">
        <v>2</v>
      </c>
      <c r="C274" s="28"/>
      <c r="D274" s="29">
        <f t="shared" si="9"/>
        <v>2</v>
      </c>
      <c r="E274" s="28"/>
      <c r="F274" s="28"/>
      <c r="G274" s="29">
        <f t="shared" si="8"/>
        <v>2</v>
      </c>
      <c r="H274" s="30">
        <v>700</v>
      </c>
      <c r="I274" s="19">
        <f t="shared" si="7"/>
        <v>1400</v>
      </c>
    </row>
    <row r="275" spans="1:9" x14ac:dyDescent="0.3">
      <c r="A275" s="28" t="s">
        <v>324</v>
      </c>
      <c r="B275" s="28">
        <v>3</v>
      </c>
      <c r="C275" s="28"/>
      <c r="D275" s="29">
        <f t="shared" si="9"/>
        <v>3</v>
      </c>
      <c r="E275" s="28"/>
      <c r="F275" s="28"/>
      <c r="G275" s="29">
        <f t="shared" si="8"/>
        <v>3</v>
      </c>
      <c r="H275" s="30">
        <v>250</v>
      </c>
      <c r="I275" s="19">
        <f t="shared" si="7"/>
        <v>750</v>
      </c>
    </row>
    <row r="276" spans="1:9" x14ac:dyDescent="0.3">
      <c r="A276" s="28" t="s">
        <v>377</v>
      </c>
      <c r="B276" s="28">
        <v>10</v>
      </c>
      <c r="C276" s="28"/>
      <c r="D276" s="29">
        <f t="shared" si="9"/>
        <v>10</v>
      </c>
      <c r="E276" s="28"/>
      <c r="F276" s="28"/>
      <c r="G276" s="29">
        <f t="shared" si="8"/>
        <v>10</v>
      </c>
      <c r="H276" s="30">
        <v>600</v>
      </c>
      <c r="I276" s="19">
        <f t="shared" si="7"/>
        <v>6000</v>
      </c>
    </row>
    <row r="277" spans="1:9" x14ac:dyDescent="0.3">
      <c r="A277" s="28" t="s">
        <v>375</v>
      </c>
      <c r="B277" s="28"/>
      <c r="C277" s="28"/>
      <c r="D277" s="29">
        <f t="shared" si="9"/>
        <v>0</v>
      </c>
      <c r="E277" s="28"/>
      <c r="F277" s="28"/>
      <c r="G277" s="29">
        <f t="shared" si="8"/>
        <v>0</v>
      </c>
      <c r="H277" s="30">
        <v>20000</v>
      </c>
      <c r="I277" s="19">
        <f t="shared" si="7"/>
        <v>0</v>
      </c>
    </row>
    <row r="278" spans="1:9" x14ac:dyDescent="0.3">
      <c r="A278" s="28"/>
      <c r="B278" s="28"/>
      <c r="C278" s="28"/>
      <c r="D278" s="29"/>
      <c r="E278" s="28"/>
      <c r="F278" s="28"/>
      <c r="G278" s="29"/>
      <c r="H278" s="30"/>
      <c r="I278" s="19"/>
    </row>
    <row r="279" spans="1:9" x14ac:dyDescent="0.3">
      <c r="A279" s="24" t="s">
        <v>63</v>
      </c>
      <c r="B279" s="28"/>
      <c r="C279" s="28"/>
      <c r="D279" s="29"/>
      <c r="E279" s="28"/>
      <c r="F279" s="28"/>
      <c r="G279" s="29">
        <f t="shared" si="8"/>
        <v>0</v>
      </c>
      <c r="H279" s="30">
        <v>6000</v>
      </c>
      <c r="I279" s="19">
        <f t="shared" si="7"/>
        <v>0</v>
      </c>
    </row>
    <row r="280" spans="1:9" x14ac:dyDescent="0.3">
      <c r="A280" s="28" t="s">
        <v>64</v>
      </c>
      <c r="B280" s="28"/>
      <c r="C280" s="28"/>
      <c r="D280" s="29">
        <f t="shared" si="9"/>
        <v>0</v>
      </c>
      <c r="E280" s="28"/>
      <c r="F280" s="28"/>
      <c r="G280" s="29">
        <f t="shared" si="8"/>
        <v>0</v>
      </c>
      <c r="H280" s="30">
        <v>280</v>
      </c>
      <c r="I280" s="19">
        <f t="shared" si="7"/>
        <v>0</v>
      </c>
    </row>
    <row r="281" spans="1:9" x14ac:dyDescent="0.3">
      <c r="A281" s="28" t="s">
        <v>174</v>
      </c>
      <c r="B281" s="28"/>
      <c r="C281" s="28"/>
      <c r="D281" s="29">
        <f t="shared" si="9"/>
        <v>0</v>
      </c>
      <c r="E281" s="28"/>
      <c r="F281" s="28"/>
      <c r="G281" s="29">
        <f t="shared" si="8"/>
        <v>0</v>
      </c>
      <c r="H281" s="30">
        <v>2200</v>
      </c>
      <c r="I281" s="19">
        <f t="shared" si="7"/>
        <v>0</v>
      </c>
    </row>
    <row r="282" spans="1:9" x14ac:dyDescent="0.3">
      <c r="A282" s="28" t="s">
        <v>224</v>
      </c>
      <c r="B282" s="28"/>
      <c r="C282" s="28"/>
      <c r="D282" s="29">
        <f t="shared" si="9"/>
        <v>0</v>
      </c>
      <c r="E282" s="28"/>
      <c r="F282" s="28"/>
      <c r="G282" s="29">
        <f t="shared" si="8"/>
        <v>0</v>
      </c>
      <c r="H282" s="30">
        <v>1500</v>
      </c>
      <c r="I282" s="19">
        <f t="shared" si="7"/>
        <v>0</v>
      </c>
    </row>
    <row r="283" spans="1:9" x14ac:dyDescent="0.3">
      <c r="A283" s="28" t="s">
        <v>229</v>
      </c>
      <c r="B283" s="28"/>
      <c r="C283" s="28"/>
      <c r="D283" s="29">
        <f t="shared" si="9"/>
        <v>0</v>
      </c>
      <c r="E283" s="28"/>
      <c r="F283" s="28"/>
      <c r="G283" s="29">
        <f t="shared" si="8"/>
        <v>0</v>
      </c>
      <c r="H283" s="30"/>
      <c r="I283" s="19">
        <f t="shared" si="7"/>
        <v>0</v>
      </c>
    </row>
    <row r="284" spans="1:9" x14ac:dyDescent="0.3">
      <c r="A284" s="28" t="s">
        <v>225</v>
      </c>
      <c r="B284" s="28"/>
      <c r="C284" s="28"/>
      <c r="D284" s="29">
        <f t="shared" si="9"/>
        <v>0</v>
      </c>
      <c r="E284" s="28"/>
      <c r="F284" s="28"/>
      <c r="G284" s="29">
        <f t="shared" si="8"/>
        <v>0</v>
      </c>
      <c r="H284" s="30">
        <v>1000</v>
      </c>
      <c r="I284" s="19">
        <f t="shared" si="7"/>
        <v>0</v>
      </c>
    </row>
    <row r="285" spans="1:9" x14ac:dyDescent="0.3">
      <c r="A285" s="28" t="s">
        <v>243</v>
      </c>
      <c r="B285" s="28"/>
      <c r="C285" s="28"/>
      <c r="D285" s="29">
        <f t="shared" si="9"/>
        <v>0</v>
      </c>
      <c r="E285" s="28"/>
      <c r="F285" s="28"/>
      <c r="G285" s="29">
        <f t="shared" si="8"/>
        <v>0</v>
      </c>
      <c r="H285" s="30"/>
      <c r="I285" s="19">
        <f t="shared" si="7"/>
        <v>0</v>
      </c>
    </row>
    <row r="286" spans="1:9" x14ac:dyDescent="0.3">
      <c r="A286" s="28" t="s">
        <v>263</v>
      </c>
      <c r="B286" s="28"/>
      <c r="C286" s="28"/>
      <c r="D286" s="29">
        <f t="shared" si="9"/>
        <v>0</v>
      </c>
      <c r="E286" s="28"/>
      <c r="F286" s="28"/>
      <c r="G286" s="29">
        <f t="shared" si="8"/>
        <v>0</v>
      </c>
      <c r="H286" s="30">
        <v>200</v>
      </c>
      <c r="I286" s="19">
        <f t="shared" si="7"/>
        <v>0</v>
      </c>
    </row>
    <row r="287" spans="1:9" x14ac:dyDescent="0.3">
      <c r="A287" s="28" t="s">
        <v>295</v>
      </c>
      <c r="B287" s="28"/>
      <c r="C287" s="28"/>
      <c r="D287" s="29">
        <f t="shared" si="9"/>
        <v>0</v>
      </c>
      <c r="E287" s="28"/>
      <c r="F287" s="28"/>
      <c r="G287" s="29">
        <f t="shared" si="8"/>
        <v>0</v>
      </c>
      <c r="H287" s="30">
        <v>6500</v>
      </c>
      <c r="I287" s="19">
        <f t="shared" si="7"/>
        <v>0</v>
      </c>
    </row>
    <row r="288" spans="1:9" x14ac:dyDescent="0.3">
      <c r="A288" s="28" t="s">
        <v>319</v>
      </c>
      <c r="B288" s="28"/>
      <c r="C288" s="28"/>
      <c r="D288" s="29">
        <f t="shared" si="9"/>
        <v>0</v>
      </c>
      <c r="E288" s="28"/>
      <c r="F288" s="28"/>
      <c r="G288" s="29">
        <f t="shared" si="8"/>
        <v>0</v>
      </c>
      <c r="H288" s="30">
        <v>2000</v>
      </c>
      <c r="I288" s="19">
        <f t="shared" si="7"/>
        <v>0</v>
      </c>
    </row>
    <row r="289" spans="1:9" x14ac:dyDescent="0.3">
      <c r="A289" s="28" t="s">
        <v>111</v>
      </c>
      <c r="B289" s="28"/>
      <c r="C289" s="28"/>
      <c r="D289" s="29">
        <f t="shared" si="9"/>
        <v>0</v>
      </c>
      <c r="E289" s="28"/>
      <c r="F289" s="28"/>
      <c r="G289" s="29">
        <f t="shared" si="8"/>
        <v>0</v>
      </c>
      <c r="H289" s="30">
        <v>700</v>
      </c>
      <c r="I289" s="19">
        <f t="shared" si="7"/>
        <v>0</v>
      </c>
    </row>
    <row r="290" spans="1:9" x14ac:dyDescent="0.3">
      <c r="A290" s="28" t="s">
        <v>296</v>
      </c>
      <c r="B290" s="28"/>
      <c r="C290" s="28"/>
      <c r="D290" s="29">
        <f t="shared" si="9"/>
        <v>0</v>
      </c>
      <c r="E290" s="28"/>
      <c r="F290" s="28"/>
      <c r="G290" s="29">
        <f t="shared" si="8"/>
        <v>0</v>
      </c>
      <c r="H290" s="30">
        <v>6000</v>
      </c>
      <c r="I290" s="19">
        <f t="shared" si="7"/>
        <v>0</v>
      </c>
    </row>
    <row r="291" spans="1:9" x14ac:dyDescent="0.3">
      <c r="A291" s="28" t="s">
        <v>373</v>
      </c>
      <c r="B291" s="28"/>
      <c r="C291" s="28"/>
      <c r="D291" s="29">
        <f t="shared" si="9"/>
        <v>0</v>
      </c>
      <c r="E291" s="28"/>
      <c r="F291" s="28"/>
      <c r="G291" s="29">
        <f t="shared" si="8"/>
        <v>0</v>
      </c>
      <c r="H291" s="30">
        <v>65</v>
      </c>
      <c r="I291" s="19">
        <f t="shared" si="7"/>
        <v>0</v>
      </c>
    </row>
    <row r="292" spans="1:9" x14ac:dyDescent="0.3">
      <c r="A292" s="28" t="s">
        <v>376</v>
      </c>
      <c r="B292" s="28"/>
      <c r="C292" s="28"/>
      <c r="D292" s="29">
        <f t="shared" si="9"/>
        <v>0</v>
      </c>
      <c r="E292" s="28"/>
      <c r="F292" s="28"/>
      <c r="G292" s="29">
        <f t="shared" si="8"/>
        <v>0</v>
      </c>
      <c r="H292" s="30">
        <v>38000</v>
      </c>
      <c r="I292" s="19">
        <f t="shared" ref="I292:I375" si="10">G292*H292</f>
        <v>0</v>
      </c>
    </row>
    <row r="293" spans="1:9" x14ac:dyDescent="0.3">
      <c r="A293" s="28" t="s">
        <v>379</v>
      </c>
      <c r="B293" s="28"/>
      <c r="C293" s="28"/>
      <c r="D293" s="29">
        <f t="shared" si="9"/>
        <v>0</v>
      </c>
      <c r="E293" s="28"/>
      <c r="F293" s="28"/>
      <c r="G293" s="29">
        <f t="shared" si="8"/>
        <v>0</v>
      </c>
      <c r="H293" s="30">
        <v>800</v>
      </c>
      <c r="I293" s="19">
        <f t="shared" si="10"/>
        <v>0</v>
      </c>
    </row>
    <row r="294" spans="1:9" x14ac:dyDescent="0.3">
      <c r="A294" s="28" t="s">
        <v>374</v>
      </c>
      <c r="B294" s="28"/>
      <c r="C294" s="28"/>
      <c r="D294" s="29">
        <f t="shared" si="9"/>
        <v>0</v>
      </c>
      <c r="E294" s="28"/>
      <c r="F294" s="28"/>
      <c r="G294" s="29">
        <f t="shared" si="8"/>
        <v>0</v>
      </c>
      <c r="H294" s="30">
        <v>220</v>
      </c>
      <c r="I294" s="19">
        <f t="shared" si="10"/>
        <v>0</v>
      </c>
    </row>
    <row r="295" spans="1:9" x14ac:dyDescent="0.3">
      <c r="A295" s="28" t="s">
        <v>378</v>
      </c>
      <c r="B295" s="28"/>
      <c r="C295" s="28"/>
      <c r="D295" s="29">
        <f t="shared" si="9"/>
        <v>0</v>
      </c>
      <c r="E295" s="29"/>
      <c r="F295" s="28"/>
      <c r="G295" s="29">
        <f t="shared" si="8"/>
        <v>0</v>
      </c>
      <c r="H295" s="30">
        <v>1900</v>
      </c>
      <c r="I295" s="19">
        <f t="shared" si="10"/>
        <v>0</v>
      </c>
    </row>
    <row r="296" spans="1:9" x14ac:dyDescent="0.3">
      <c r="A296" s="28" t="s">
        <v>380</v>
      </c>
      <c r="B296" s="28"/>
      <c r="C296" s="28"/>
      <c r="D296" s="29">
        <f t="shared" si="9"/>
        <v>0</v>
      </c>
      <c r="E296" s="29"/>
      <c r="F296" s="28"/>
      <c r="G296" s="29">
        <f t="shared" si="8"/>
        <v>0</v>
      </c>
      <c r="H296" s="30">
        <v>3000</v>
      </c>
      <c r="I296" s="19">
        <f t="shared" si="10"/>
        <v>0</v>
      </c>
    </row>
    <row r="297" spans="1:9" x14ac:dyDescent="0.3">
      <c r="A297" s="28" t="s">
        <v>381</v>
      </c>
      <c r="B297" s="28"/>
      <c r="C297" s="28"/>
      <c r="D297" s="29">
        <f t="shared" si="9"/>
        <v>0</v>
      </c>
      <c r="E297" s="29"/>
      <c r="F297" s="28"/>
      <c r="G297" s="29">
        <f t="shared" si="8"/>
        <v>0</v>
      </c>
      <c r="H297" s="30">
        <v>3000</v>
      </c>
      <c r="I297" s="19">
        <f t="shared" si="10"/>
        <v>0</v>
      </c>
    </row>
    <row r="298" spans="1:9" x14ac:dyDescent="0.3">
      <c r="A298" s="28" t="s">
        <v>385</v>
      </c>
      <c r="B298" s="28"/>
      <c r="C298" s="28"/>
      <c r="D298" s="29">
        <f t="shared" si="9"/>
        <v>0</v>
      </c>
      <c r="E298" s="29"/>
      <c r="F298" s="28"/>
      <c r="G298" s="29">
        <f t="shared" si="8"/>
        <v>0</v>
      </c>
      <c r="H298" s="30">
        <v>3000</v>
      </c>
      <c r="I298" s="19">
        <f t="shared" si="10"/>
        <v>0</v>
      </c>
    </row>
    <row r="299" spans="1:9" x14ac:dyDescent="0.3">
      <c r="A299" s="28" t="s">
        <v>382</v>
      </c>
      <c r="B299" s="28"/>
      <c r="C299" s="28"/>
      <c r="D299" s="29">
        <f t="shared" si="9"/>
        <v>0</v>
      </c>
      <c r="E299" s="29"/>
      <c r="F299" s="28"/>
      <c r="G299" s="29">
        <f t="shared" si="8"/>
        <v>0</v>
      </c>
      <c r="H299" s="30">
        <v>4000</v>
      </c>
      <c r="I299" s="19">
        <f t="shared" si="10"/>
        <v>0</v>
      </c>
    </row>
    <row r="300" spans="1:9" x14ac:dyDescent="0.3">
      <c r="A300" s="28" t="s">
        <v>383</v>
      </c>
      <c r="B300" s="28"/>
      <c r="C300" s="28"/>
      <c r="D300" s="29">
        <f t="shared" si="9"/>
        <v>0</v>
      </c>
      <c r="E300" s="29"/>
      <c r="F300" s="28"/>
      <c r="G300" s="29">
        <f t="shared" si="8"/>
        <v>0</v>
      </c>
      <c r="H300" s="30">
        <v>13000</v>
      </c>
      <c r="I300" s="19">
        <f t="shared" si="10"/>
        <v>0</v>
      </c>
    </row>
    <row r="301" spans="1:9" x14ac:dyDescent="0.3">
      <c r="A301" s="28" t="s">
        <v>384</v>
      </c>
      <c r="B301" s="28"/>
      <c r="C301" s="28"/>
      <c r="D301" s="29">
        <f t="shared" si="9"/>
        <v>0</v>
      </c>
      <c r="E301" s="29"/>
      <c r="F301" s="28"/>
      <c r="G301" s="29">
        <f t="shared" si="8"/>
        <v>0</v>
      </c>
      <c r="H301" s="30">
        <v>2000</v>
      </c>
      <c r="I301" s="19">
        <f t="shared" si="10"/>
        <v>0</v>
      </c>
    </row>
    <row r="302" spans="1:9" x14ac:dyDescent="0.3">
      <c r="A302" s="28" t="s">
        <v>386</v>
      </c>
      <c r="B302" s="28"/>
      <c r="C302" s="28"/>
      <c r="D302" s="29">
        <f t="shared" si="9"/>
        <v>0</v>
      </c>
      <c r="E302" s="29"/>
      <c r="F302" s="28"/>
      <c r="G302" s="29">
        <f t="shared" si="8"/>
        <v>0</v>
      </c>
      <c r="H302" s="30">
        <v>800</v>
      </c>
      <c r="I302" s="19">
        <f t="shared" si="10"/>
        <v>0</v>
      </c>
    </row>
    <row r="303" spans="1:9" x14ac:dyDescent="0.3">
      <c r="A303" s="28" t="s">
        <v>387</v>
      </c>
      <c r="B303" s="28"/>
      <c r="C303" s="28"/>
      <c r="D303" s="29">
        <f t="shared" si="9"/>
        <v>0</v>
      </c>
      <c r="E303" s="29"/>
      <c r="F303" s="28"/>
      <c r="G303" s="29">
        <f t="shared" si="8"/>
        <v>0</v>
      </c>
      <c r="H303" s="30">
        <v>1400</v>
      </c>
      <c r="I303" s="19">
        <f t="shared" si="10"/>
        <v>0</v>
      </c>
    </row>
    <row r="304" spans="1:9" x14ac:dyDescent="0.3">
      <c r="A304" s="28" t="s">
        <v>411</v>
      </c>
      <c r="B304" s="28"/>
      <c r="C304" s="28"/>
      <c r="D304" s="29">
        <f t="shared" si="9"/>
        <v>0</v>
      </c>
      <c r="E304" s="29"/>
      <c r="F304" s="28"/>
      <c r="G304" s="29">
        <f t="shared" si="8"/>
        <v>0</v>
      </c>
      <c r="H304" s="30">
        <v>1000</v>
      </c>
      <c r="I304" s="19">
        <f t="shared" si="10"/>
        <v>0</v>
      </c>
    </row>
    <row r="305" spans="1:9" x14ac:dyDescent="0.3">
      <c r="A305" s="28"/>
      <c r="B305" s="28"/>
      <c r="C305" s="28"/>
      <c r="D305" s="29">
        <f t="shared" si="9"/>
        <v>0</v>
      </c>
      <c r="E305" s="29"/>
      <c r="F305" s="28"/>
      <c r="G305" s="29">
        <f t="shared" si="8"/>
        <v>0</v>
      </c>
      <c r="H305" s="30"/>
      <c r="I305" s="19"/>
    </row>
    <row r="306" spans="1:9" x14ac:dyDescent="0.3">
      <c r="A306" s="28" t="s">
        <v>388</v>
      </c>
      <c r="B306" s="28"/>
      <c r="C306" s="28"/>
      <c r="D306" s="29">
        <f t="shared" si="9"/>
        <v>0</v>
      </c>
      <c r="E306" s="29"/>
      <c r="F306" s="28"/>
      <c r="G306" s="29">
        <f t="shared" si="8"/>
        <v>0</v>
      </c>
      <c r="H306" s="30">
        <v>3500</v>
      </c>
      <c r="I306" s="19">
        <f t="shared" si="10"/>
        <v>0</v>
      </c>
    </row>
    <row r="307" spans="1:9" x14ac:dyDescent="0.3">
      <c r="A307" s="28" t="s">
        <v>408</v>
      </c>
      <c r="B307" s="28"/>
      <c r="C307" s="28"/>
      <c r="D307" s="29">
        <f t="shared" si="9"/>
        <v>0</v>
      </c>
      <c r="E307" s="29"/>
      <c r="F307" s="28"/>
      <c r="G307" s="29">
        <f t="shared" si="8"/>
        <v>0</v>
      </c>
      <c r="H307" s="30">
        <v>800</v>
      </c>
      <c r="I307" s="19">
        <f t="shared" si="10"/>
        <v>0</v>
      </c>
    </row>
    <row r="308" spans="1:9" x14ac:dyDescent="0.3">
      <c r="A308" s="28" t="s">
        <v>409</v>
      </c>
      <c r="B308" s="28"/>
      <c r="C308" s="28"/>
      <c r="D308" s="29">
        <f t="shared" si="9"/>
        <v>0</v>
      </c>
      <c r="E308" s="29"/>
      <c r="F308" s="28"/>
      <c r="G308" s="29">
        <f t="shared" si="8"/>
        <v>0</v>
      </c>
      <c r="H308" s="30">
        <v>1500</v>
      </c>
      <c r="I308" s="19">
        <f t="shared" si="10"/>
        <v>0</v>
      </c>
    </row>
    <row r="309" spans="1:9" x14ac:dyDescent="0.3">
      <c r="A309" s="28" t="s">
        <v>410</v>
      </c>
      <c r="B309" s="28"/>
      <c r="C309" s="28"/>
      <c r="D309" s="29">
        <f t="shared" si="9"/>
        <v>0</v>
      </c>
      <c r="E309" s="29"/>
      <c r="F309" s="28"/>
      <c r="G309" s="29">
        <f t="shared" si="8"/>
        <v>0</v>
      </c>
      <c r="H309" s="30">
        <v>1500</v>
      </c>
      <c r="I309" s="19">
        <f t="shared" si="10"/>
        <v>0</v>
      </c>
    </row>
    <row r="310" spans="1:9" x14ac:dyDescent="0.3">
      <c r="A310" s="24" t="s">
        <v>65</v>
      </c>
      <c r="B310" s="28"/>
      <c r="C310" s="28"/>
      <c r="D310" s="29">
        <f t="shared" si="9"/>
        <v>0</v>
      </c>
      <c r="E310" s="28"/>
      <c r="F310" s="28"/>
      <c r="G310" s="29">
        <f t="shared" si="8"/>
        <v>0</v>
      </c>
      <c r="H310" s="30"/>
      <c r="I310" s="19">
        <f t="shared" si="10"/>
        <v>0</v>
      </c>
    </row>
    <row r="311" spans="1:9" x14ac:dyDescent="0.3">
      <c r="A311" s="28" t="s">
        <v>304</v>
      </c>
      <c r="B311" s="28"/>
      <c r="C311" s="28"/>
      <c r="D311" s="29">
        <f t="shared" si="9"/>
        <v>0</v>
      </c>
      <c r="E311" s="28"/>
      <c r="F311" s="28"/>
      <c r="G311" s="29">
        <f t="shared" si="8"/>
        <v>0</v>
      </c>
      <c r="H311" s="30">
        <v>60</v>
      </c>
      <c r="I311" s="19">
        <f t="shared" si="10"/>
        <v>0</v>
      </c>
    </row>
    <row r="312" spans="1:9" x14ac:dyDescent="0.3">
      <c r="A312" s="28" t="s">
        <v>66</v>
      </c>
      <c r="B312" s="28"/>
      <c r="C312" s="28"/>
      <c r="D312" s="29">
        <f t="shared" si="9"/>
        <v>0</v>
      </c>
      <c r="E312" s="28"/>
      <c r="F312" s="28"/>
      <c r="G312" s="29">
        <f t="shared" si="8"/>
        <v>0</v>
      </c>
      <c r="H312" s="30">
        <v>250</v>
      </c>
      <c r="I312" s="19">
        <f t="shared" si="10"/>
        <v>0</v>
      </c>
    </row>
    <row r="313" spans="1:9" x14ac:dyDescent="0.3">
      <c r="A313" s="28" t="s">
        <v>149</v>
      </c>
      <c r="B313" s="28"/>
      <c r="C313" s="28"/>
      <c r="D313" s="29">
        <f t="shared" si="9"/>
        <v>0</v>
      </c>
      <c r="E313" s="28"/>
      <c r="F313" s="28"/>
      <c r="G313" s="29">
        <f t="shared" si="8"/>
        <v>0</v>
      </c>
      <c r="H313" s="30">
        <v>400</v>
      </c>
      <c r="I313" s="19">
        <f t="shared" si="10"/>
        <v>0</v>
      </c>
    </row>
    <row r="314" spans="1:9" x14ac:dyDescent="0.3">
      <c r="A314" s="28" t="s">
        <v>148</v>
      </c>
      <c r="B314" s="28"/>
      <c r="C314" s="28"/>
      <c r="D314" s="29">
        <f t="shared" si="9"/>
        <v>0</v>
      </c>
      <c r="E314" s="28"/>
      <c r="F314" s="28"/>
      <c r="G314" s="29">
        <f t="shared" si="8"/>
        <v>0</v>
      </c>
      <c r="H314" s="30">
        <v>500</v>
      </c>
      <c r="I314" s="19">
        <f t="shared" si="10"/>
        <v>0</v>
      </c>
    </row>
    <row r="315" spans="1:9" x14ac:dyDescent="0.3">
      <c r="A315" s="28" t="s">
        <v>100</v>
      </c>
      <c r="B315" s="28"/>
      <c r="C315" s="28"/>
      <c r="D315" s="29">
        <f t="shared" si="9"/>
        <v>0</v>
      </c>
      <c r="E315" s="28"/>
      <c r="F315" s="28"/>
      <c r="G315" s="29">
        <f t="shared" si="8"/>
        <v>0</v>
      </c>
      <c r="H315" s="31">
        <v>45</v>
      </c>
      <c r="I315" s="19">
        <f t="shared" si="10"/>
        <v>0</v>
      </c>
    </row>
    <row r="316" spans="1:9" x14ac:dyDescent="0.3">
      <c r="A316" s="28" t="s">
        <v>101</v>
      </c>
      <c r="B316" s="28"/>
      <c r="C316" s="28"/>
      <c r="D316" s="29">
        <f t="shared" si="9"/>
        <v>0</v>
      </c>
      <c r="E316" s="28"/>
      <c r="F316" s="28"/>
      <c r="G316" s="29">
        <f t="shared" si="8"/>
        <v>0</v>
      </c>
      <c r="H316" s="31">
        <v>45</v>
      </c>
      <c r="I316" s="19">
        <f t="shared" si="10"/>
        <v>0</v>
      </c>
    </row>
    <row r="317" spans="1:9" x14ac:dyDescent="0.3">
      <c r="A317" s="28" t="s">
        <v>102</v>
      </c>
      <c r="B317" s="28"/>
      <c r="C317" s="28"/>
      <c r="D317" s="29">
        <f t="shared" si="9"/>
        <v>0</v>
      </c>
      <c r="E317" s="28"/>
      <c r="F317" s="28"/>
      <c r="G317" s="29">
        <f t="shared" si="8"/>
        <v>0</v>
      </c>
      <c r="H317" s="31">
        <v>105</v>
      </c>
      <c r="I317" s="19">
        <f t="shared" si="10"/>
        <v>0</v>
      </c>
    </row>
    <row r="318" spans="1:9" x14ac:dyDescent="0.3">
      <c r="A318" s="28" t="s">
        <v>103</v>
      </c>
      <c r="B318" s="28"/>
      <c r="C318" s="28"/>
      <c r="D318" s="29">
        <f t="shared" si="9"/>
        <v>0</v>
      </c>
      <c r="E318" s="28"/>
      <c r="F318" s="28"/>
      <c r="G318" s="29">
        <f t="shared" si="8"/>
        <v>0</v>
      </c>
      <c r="H318" s="34">
        <v>6000</v>
      </c>
      <c r="I318" s="19">
        <f t="shared" si="10"/>
        <v>0</v>
      </c>
    </row>
    <row r="319" spans="1:9" x14ac:dyDescent="0.3">
      <c r="A319" s="28" t="s">
        <v>104</v>
      </c>
      <c r="B319" s="28"/>
      <c r="C319" s="28"/>
      <c r="D319" s="29">
        <f t="shared" si="9"/>
        <v>0</v>
      </c>
      <c r="E319" s="28"/>
      <c r="F319" s="28"/>
      <c r="G319" s="29">
        <f t="shared" si="8"/>
        <v>0</v>
      </c>
      <c r="H319" s="30">
        <v>2800</v>
      </c>
      <c r="I319" s="19">
        <f t="shared" si="10"/>
        <v>0</v>
      </c>
    </row>
    <row r="320" spans="1:9" x14ac:dyDescent="0.3">
      <c r="A320" s="28" t="s">
        <v>338</v>
      </c>
      <c r="B320" s="28"/>
      <c r="C320" s="28"/>
      <c r="D320" s="29">
        <f t="shared" si="9"/>
        <v>0</v>
      </c>
      <c r="E320" s="28"/>
      <c r="F320" s="28"/>
      <c r="G320" s="29">
        <f t="shared" si="8"/>
        <v>0</v>
      </c>
      <c r="H320" s="30">
        <v>2500</v>
      </c>
      <c r="I320" s="19">
        <f t="shared" si="10"/>
        <v>0</v>
      </c>
    </row>
    <row r="321" spans="1:9" x14ac:dyDescent="0.3">
      <c r="A321" s="28" t="s">
        <v>105</v>
      </c>
      <c r="B321" s="28"/>
      <c r="C321" s="28"/>
      <c r="D321" s="29">
        <f t="shared" si="9"/>
        <v>0</v>
      </c>
      <c r="E321" s="28"/>
      <c r="F321" s="28"/>
      <c r="G321" s="29">
        <f t="shared" si="8"/>
        <v>0</v>
      </c>
      <c r="H321" s="30">
        <v>2600</v>
      </c>
      <c r="I321" s="19">
        <f t="shared" si="10"/>
        <v>0</v>
      </c>
    </row>
    <row r="322" spans="1:9" x14ac:dyDescent="0.3">
      <c r="A322" s="28" t="s">
        <v>337</v>
      </c>
      <c r="B322" s="28"/>
      <c r="C322" s="28"/>
      <c r="D322" s="29">
        <f t="shared" si="9"/>
        <v>0</v>
      </c>
      <c r="E322" s="28"/>
      <c r="F322" s="28"/>
      <c r="G322" s="29">
        <f t="shared" si="8"/>
        <v>0</v>
      </c>
      <c r="H322" s="30">
        <v>2800</v>
      </c>
      <c r="I322" s="19">
        <f t="shared" si="10"/>
        <v>0</v>
      </c>
    </row>
    <row r="323" spans="1:9" x14ac:dyDescent="0.3">
      <c r="A323" s="28" t="s">
        <v>297</v>
      </c>
      <c r="B323" s="28"/>
      <c r="C323" s="28"/>
      <c r="D323" s="29">
        <f t="shared" si="9"/>
        <v>0</v>
      </c>
      <c r="E323" s="28"/>
      <c r="F323" s="28"/>
      <c r="G323" s="29">
        <f t="shared" si="8"/>
        <v>0</v>
      </c>
      <c r="H323" s="30">
        <v>2400</v>
      </c>
      <c r="I323" s="19">
        <f t="shared" si="10"/>
        <v>0</v>
      </c>
    </row>
    <row r="324" spans="1:9" x14ac:dyDescent="0.3">
      <c r="A324" s="28" t="s">
        <v>106</v>
      </c>
      <c r="B324" s="28"/>
      <c r="C324" s="28"/>
      <c r="D324" s="29">
        <f t="shared" si="9"/>
        <v>0</v>
      </c>
      <c r="E324" s="28"/>
      <c r="F324" s="28"/>
      <c r="G324" s="29">
        <f t="shared" si="8"/>
        <v>0</v>
      </c>
      <c r="H324" s="30">
        <v>250</v>
      </c>
      <c r="I324" s="19">
        <f t="shared" si="10"/>
        <v>0</v>
      </c>
    </row>
    <row r="325" spans="1:9" x14ac:dyDescent="0.3">
      <c r="A325" s="28" t="s">
        <v>260</v>
      </c>
      <c r="B325" s="28"/>
      <c r="C325" s="28"/>
      <c r="D325" s="29">
        <f t="shared" si="9"/>
        <v>0</v>
      </c>
      <c r="E325" s="28"/>
      <c r="F325" s="28"/>
      <c r="G325" s="29">
        <f t="shared" si="8"/>
        <v>0</v>
      </c>
      <c r="H325" s="30">
        <v>130</v>
      </c>
      <c r="I325" s="19">
        <f t="shared" si="10"/>
        <v>0</v>
      </c>
    </row>
    <row r="326" spans="1:9" x14ac:dyDescent="0.3">
      <c r="A326" s="28" t="s">
        <v>344</v>
      </c>
      <c r="B326" s="28"/>
      <c r="C326" s="28"/>
      <c r="D326" s="29">
        <f t="shared" si="9"/>
        <v>0</v>
      </c>
      <c r="E326" s="28"/>
      <c r="F326" s="28"/>
      <c r="G326" s="29">
        <f t="shared" si="8"/>
        <v>0</v>
      </c>
      <c r="H326" s="30">
        <v>4500</v>
      </c>
      <c r="I326" s="19">
        <f t="shared" si="10"/>
        <v>0</v>
      </c>
    </row>
    <row r="327" spans="1:9" x14ac:dyDescent="0.3">
      <c r="A327" s="28" t="s">
        <v>345</v>
      </c>
      <c r="B327" s="28"/>
      <c r="C327" s="28"/>
      <c r="D327" s="29">
        <f t="shared" si="9"/>
        <v>0</v>
      </c>
      <c r="E327" s="28"/>
      <c r="F327" s="28"/>
      <c r="G327" s="29">
        <f t="shared" si="8"/>
        <v>0</v>
      </c>
      <c r="H327" s="30">
        <v>5000</v>
      </c>
      <c r="I327" s="19">
        <f t="shared" si="10"/>
        <v>0</v>
      </c>
    </row>
    <row r="328" spans="1:9" x14ac:dyDescent="0.3">
      <c r="A328" s="28" t="s">
        <v>210</v>
      </c>
      <c r="B328" s="28"/>
      <c r="C328" s="28"/>
      <c r="D328" s="29">
        <f t="shared" si="9"/>
        <v>0</v>
      </c>
      <c r="E328" s="28"/>
      <c r="F328" s="28"/>
      <c r="G328" s="29">
        <f t="shared" si="8"/>
        <v>0</v>
      </c>
      <c r="H328" s="30">
        <v>2800</v>
      </c>
      <c r="I328" s="19">
        <f t="shared" si="10"/>
        <v>0</v>
      </c>
    </row>
    <row r="329" spans="1:9" x14ac:dyDescent="0.3">
      <c r="A329" s="28" t="s">
        <v>107</v>
      </c>
      <c r="B329" s="28"/>
      <c r="C329" s="28"/>
      <c r="D329" s="29">
        <f t="shared" si="9"/>
        <v>0</v>
      </c>
      <c r="E329" s="28"/>
      <c r="F329" s="28"/>
      <c r="G329" s="29">
        <f t="shared" si="8"/>
        <v>0</v>
      </c>
      <c r="H329" s="30">
        <v>1500</v>
      </c>
      <c r="I329" s="19">
        <f t="shared" si="10"/>
        <v>0</v>
      </c>
    </row>
    <row r="330" spans="1:9" x14ac:dyDescent="0.3">
      <c r="A330" s="28" t="s">
        <v>108</v>
      </c>
      <c r="B330" s="28"/>
      <c r="C330" s="28"/>
      <c r="D330" s="29">
        <f t="shared" si="9"/>
        <v>0</v>
      </c>
      <c r="E330" s="28"/>
      <c r="F330" s="28"/>
      <c r="G330" s="29">
        <f t="shared" si="8"/>
        <v>0</v>
      </c>
      <c r="H330" s="30">
        <v>1000</v>
      </c>
      <c r="I330" s="19">
        <f t="shared" si="10"/>
        <v>0</v>
      </c>
    </row>
    <row r="331" spans="1:9" x14ac:dyDescent="0.3">
      <c r="A331" s="28" t="s">
        <v>109</v>
      </c>
      <c r="B331" s="28"/>
      <c r="C331" s="28"/>
      <c r="D331" s="29">
        <f t="shared" ref="D331:D375" si="11">B331+C331</f>
        <v>0</v>
      </c>
      <c r="E331" s="28"/>
      <c r="F331" s="28"/>
      <c r="G331" s="29">
        <f t="shared" si="8"/>
        <v>0</v>
      </c>
      <c r="H331" s="30">
        <v>2850</v>
      </c>
      <c r="I331" s="19">
        <f t="shared" si="10"/>
        <v>0</v>
      </c>
    </row>
    <row r="332" spans="1:9" x14ac:dyDescent="0.3">
      <c r="A332" s="28" t="s">
        <v>110</v>
      </c>
      <c r="B332" s="28"/>
      <c r="C332" s="28"/>
      <c r="D332" s="29">
        <f t="shared" si="11"/>
        <v>0</v>
      </c>
      <c r="E332" s="28"/>
      <c r="F332" s="28"/>
      <c r="G332" s="29">
        <f t="shared" si="8"/>
        <v>0</v>
      </c>
      <c r="H332" s="30"/>
      <c r="I332" s="19">
        <f t="shared" si="10"/>
        <v>0</v>
      </c>
    </row>
    <row r="333" spans="1:9" x14ac:dyDescent="0.3">
      <c r="A333" s="28" t="s">
        <v>111</v>
      </c>
      <c r="B333" s="28"/>
      <c r="C333" s="28"/>
      <c r="D333" s="29">
        <f t="shared" si="11"/>
        <v>0</v>
      </c>
      <c r="E333" s="28"/>
      <c r="F333" s="28"/>
      <c r="G333" s="29">
        <f t="shared" si="8"/>
        <v>0</v>
      </c>
      <c r="H333" s="30">
        <v>3500</v>
      </c>
      <c r="I333" s="19">
        <f t="shared" si="10"/>
        <v>0</v>
      </c>
    </row>
    <row r="334" spans="1:9" x14ac:dyDescent="0.3">
      <c r="A334" s="28" t="s">
        <v>234</v>
      </c>
      <c r="B334" s="28"/>
      <c r="C334" s="28"/>
      <c r="D334" s="29">
        <f t="shared" si="11"/>
        <v>0</v>
      </c>
      <c r="E334" s="28"/>
      <c r="F334" s="28"/>
      <c r="G334" s="29">
        <f t="shared" si="8"/>
        <v>0</v>
      </c>
      <c r="H334" s="30">
        <v>650</v>
      </c>
      <c r="I334" s="19">
        <f t="shared" si="10"/>
        <v>0</v>
      </c>
    </row>
    <row r="335" spans="1:9" x14ac:dyDescent="0.3">
      <c r="A335" s="28" t="s">
        <v>112</v>
      </c>
      <c r="B335" s="28"/>
      <c r="C335" s="28"/>
      <c r="D335" s="29">
        <f t="shared" si="11"/>
        <v>0</v>
      </c>
      <c r="E335" s="28"/>
      <c r="F335" s="28"/>
      <c r="G335" s="29">
        <f t="shared" si="8"/>
        <v>0</v>
      </c>
      <c r="H335" s="30">
        <v>1000</v>
      </c>
      <c r="I335" s="19">
        <f t="shared" si="10"/>
        <v>0</v>
      </c>
    </row>
    <row r="336" spans="1:9" x14ac:dyDescent="0.3">
      <c r="A336" s="28" t="s">
        <v>358</v>
      </c>
      <c r="B336" s="28"/>
      <c r="C336" s="28"/>
      <c r="D336" s="29">
        <f t="shared" si="11"/>
        <v>0</v>
      </c>
      <c r="E336" s="28"/>
      <c r="F336" s="28"/>
      <c r="G336" s="29">
        <f t="shared" si="8"/>
        <v>0</v>
      </c>
      <c r="H336" s="30">
        <v>100</v>
      </c>
      <c r="I336" s="19">
        <f t="shared" si="10"/>
        <v>0</v>
      </c>
    </row>
    <row r="337" spans="1:9" x14ac:dyDescent="0.3">
      <c r="A337" s="28" t="s">
        <v>298</v>
      </c>
      <c r="B337" s="28"/>
      <c r="C337" s="28"/>
      <c r="D337" s="29">
        <f t="shared" si="11"/>
        <v>0</v>
      </c>
      <c r="E337" s="28"/>
      <c r="F337" s="28"/>
      <c r="G337" s="29">
        <f t="shared" si="8"/>
        <v>0</v>
      </c>
      <c r="H337" s="30">
        <v>100</v>
      </c>
      <c r="I337" s="19">
        <f t="shared" si="10"/>
        <v>0</v>
      </c>
    </row>
    <row r="338" spans="1:9" x14ac:dyDescent="0.3">
      <c r="A338" s="28" t="s">
        <v>114</v>
      </c>
      <c r="B338" s="28"/>
      <c r="C338" s="28"/>
      <c r="D338" s="29">
        <f t="shared" si="11"/>
        <v>0</v>
      </c>
      <c r="E338" s="28"/>
      <c r="F338" s="28"/>
      <c r="G338" s="29">
        <f t="shared" ref="G338:G375" si="12">D338-E338-F338</f>
        <v>0</v>
      </c>
      <c r="H338" s="30">
        <v>450</v>
      </c>
      <c r="I338" s="19">
        <f t="shared" si="10"/>
        <v>0</v>
      </c>
    </row>
    <row r="339" spans="1:9" x14ac:dyDescent="0.3">
      <c r="A339" s="28" t="s">
        <v>116</v>
      </c>
      <c r="B339" s="28"/>
      <c r="C339" s="28"/>
      <c r="D339" s="29">
        <f t="shared" si="11"/>
        <v>0</v>
      </c>
      <c r="E339" s="28"/>
      <c r="F339" s="28"/>
      <c r="G339" s="29">
        <f t="shared" si="12"/>
        <v>0</v>
      </c>
      <c r="H339" s="30">
        <v>300</v>
      </c>
      <c r="I339" s="19">
        <f t="shared" si="10"/>
        <v>0</v>
      </c>
    </row>
    <row r="340" spans="1:9" x14ac:dyDescent="0.3">
      <c r="A340" s="28" t="s">
        <v>119</v>
      </c>
      <c r="B340" s="28"/>
      <c r="C340" s="28"/>
      <c r="D340" s="29">
        <f t="shared" si="11"/>
        <v>0</v>
      </c>
      <c r="E340" s="28"/>
      <c r="F340" s="28"/>
      <c r="G340" s="29">
        <f t="shared" si="12"/>
        <v>0</v>
      </c>
      <c r="H340" s="30">
        <v>150</v>
      </c>
      <c r="I340" s="19">
        <f t="shared" si="10"/>
        <v>0</v>
      </c>
    </row>
    <row r="341" spans="1:9" x14ac:dyDescent="0.3">
      <c r="A341" s="28" t="s">
        <v>120</v>
      </c>
      <c r="B341" s="28"/>
      <c r="C341" s="28"/>
      <c r="D341" s="29">
        <f t="shared" si="11"/>
        <v>0</v>
      </c>
      <c r="E341" s="28"/>
      <c r="F341" s="28"/>
      <c r="G341" s="29">
        <f t="shared" si="12"/>
        <v>0</v>
      </c>
      <c r="H341" s="30">
        <v>90</v>
      </c>
      <c r="I341" s="19">
        <f t="shared" si="10"/>
        <v>0</v>
      </c>
    </row>
    <row r="342" spans="1:9" x14ac:dyDescent="0.3">
      <c r="A342" s="28" t="s">
        <v>308</v>
      </c>
      <c r="B342" s="28"/>
      <c r="C342" s="28"/>
      <c r="D342" s="29">
        <f t="shared" si="11"/>
        <v>0</v>
      </c>
      <c r="E342" s="28"/>
      <c r="F342" s="28"/>
      <c r="G342" s="29">
        <f t="shared" si="12"/>
        <v>0</v>
      </c>
      <c r="H342" s="30">
        <v>100</v>
      </c>
      <c r="I342" s="19">
        <f t="shared" si="10"/>
        <v>0</v>
      </c>
    </row>
    <row r="343" spans="1:9" x14ac:dyDescent="0.3">
      <c r="A343" s="28" t="s">
        <v>309</v>
      </c>
      <c r="B343" s="28"/>
      <c r="C343" s="28"/>
      <c r="D343" s="29">
        <f t="shared" si="11"/>
        <v>0</v>
      </c>
      <c r="E343" s="28"/>
      <c r="F343" s="28"/>
      <c r="G343" s="29">
        <f t="shared" si="12"/>
        <v>0</v>
      </c>
      <c r="H343" s="30">
        <v>1500</v>
      </c>
      <c r="I343" s="19">
        <f t="shared" si="10"/>
        <v>0</v>
      </c>
    </row>
    <row r="344" spans="1:9" x14ac:dyDescent="0.3">
      <c r="A344" s="28" t="s">
        <v>317</v>
      </c>
      <c r="B344" s="28"/>
      <c r="C344" s="28"/>
      <c r="D344" s="29">
        <f t="shared" si="11"/>
        <v>0</v>
      </c>
      <c r="E344" s="28"/>
      <c r="F344" s="28"/>
      <c r="G344" s="29">
        <f t="shared" si="12"/>
        <v>0</v>
      </c>
      <c r="H344" s="30">
        <v>600</v>
      </c>
      <c r="I344" s="19">
        <f t="shared" si="10"/>
        <v>0</v>
      </c>
    </row>
    <row r="345" spans="1:9" x14ac:dyDescent="0.3">
      <c r="A345" s="28" t="s">
        <v>318</v>
      </c>
      <c r="B345" s="28"/>
      <c r="C345" s="28"/>
      <c r="D345" s="29">
        <f t="shared" si="11"/>
        <v>0</v>
      </c>
      <c r="E345" s="28"/>
      <c r="F345" s="28"/>
      <c r="G345" s="29">
        <f t="shared" si="12"/>
        <v>0</v>
      </c>
      <c r="H345" s="30">
        <v>500</v>
      </c>
      <c r="I345" s="19">
        <f t="shared" si="10"/>
        <v>0</v>
      </c>
    </row>
    <row r="346" spans="1:9" x14ac:dyDescent="0.3">
      <c r="A346" s="28" t="s">
        <v>121</v>
      </c>
      <c r="B346" s="28"/>
      <c r="C346" s="28"/>
      <c r="D346" s="29">
        <f t="shared" si="11"/>
        <v>0</v>
      </c>
      <c r="E346" s="28"/>
      <c r="F346" s="28"/>
      <c r="G346" s="29">
        <f t="shared" si="12"/>
        <v>0</v>
      </c>
      <c r="H346" s="30">
        <v>25</v>
      </c>
      <c r="I346" s="19">
        <f t="shared" si="10"/>
        <v>0</v>
      </c>
    </row>
    <row r="347" spans="1:9" x14ac:dyDescent="0.3">
      <c r="A347" s="28" t="s">
        <v>412</v>
      </c>
      <c r="B347" s="28"/>
      <c r="C347" s="28"/>
      <c r="D347" s="29">
        <f t="shared" si="11"/>
        <v>0</v>
      </c>
      <c r="E347" s="28"/>
      <c r="F347" s="28"/>
      <c r="G347" s="29">
        <f t="shared" si="12"/>
        <v>0</v>
      </c>
      <c r="H347" s="30">
        <v>28000</v>
      </c>
      <c r="I347" s="19">
        <f t="shared" si="10"/>
        <v>0</v>
      </c>
    </row>
    <row r="348" spans="1:9" x14ac:dyDescent="0.3">
      <c r="A348" s="28" t="s">
        <v>133</v>
      </c>
      <c r="B348" s="28"/>
      <c r="C348" s="28"/>
      <c r="D348" s="29">
        <f t="shared" si="11"/>
        <v>0</v>
      </c>
      <c r="E348" s="28"/>
      <c r="F348" s="28"/>
      <c r="G348" s="29">
        <f t="shared" si="12"/>
        <v>0</v>
      </c>
      <c r="H348" s="30">
        <v>1500</v>
      </c>
      <c r="I348" s="19">
        <f t="shared" si="10"/>
        <v>0</v>
      </c>
    </row>
    <row r="349" spans="1:9" x14ac:dyDescent="0.3">
      <c r="A349" s="28" t="s">
        <v>138</v>
      </c>
      <c r="B349" s="28"/>
      <c r="C349" s="28"/>
      <c r="D349" s="29">
        <f t="shared" si="11"/>
        <v>0</v>
      </c>
      <c r="E349" s="28"/>
      <c r="F349" s="28"/>
      <c r="G349" s="29">
        <f t="shared" si="12"/>
        <v>0</v>
      </c>
      <c r="H349" s="30">
        <v>30</v>
      </c>
      <c r="I349" s="19">
        <f t="shared" si="10"/>
        <v>0</v>
      </c>
    </row>
    <row r="350" spans="1:9" x14ac:dyDescent="0.3">
      <c r="A350" s="28" t="s">
        <v>139</v>
      </c>
      <c r="B350" s="28"/>
      <c r="C350" s="28"/>
      <c r="D350" s="29">
        <f t="shared" si="11"/>
        <v>0</v>
      </c>
      <c r="E350" s="28"/>
      <c r="F350" s="28"/>
      <c r="G350" s="29">
        <f t="shared" si="12"/>
        <v>0</v>
      </c>
      <c r="H350" s="30">
        <v>30</v>
      </c>
      <c r="I350" s="19">
        <f t="shared" si="10"/>
        <v>0</v>
      </c>
    </row>
    <row r="351" spans="1:9" x14ac:dyDescent="0.3">
      <c r="A351" s="28" t="s">
        <v>146</v>
      </c>
      <c r="B351" s="28"/>
      <c r="C351" s="28"/>
      <c r="D351" s="29">
        <f t="shared" si="11"/>
        <v>0</v>
      </c>
      <c r="E351" s="28"/>
      <c r="F351" s="28"/>
      <c r="G351" s="29">
        <f t="shared" si="12"/>
        <v>0</v>
      </c>
      <c r="H351" s="30">
        <v>1200</v>
      </c>
      <c r="I351" s="19">
        <f t="shared" si="10"/>
        <v>0</v>
      </c>
    </row>
    <row r="352" spans="1:9" x14ac:dyDescent="0.3">
      <c r="A352" s="28" t="s">
        <v>253</v>
      </c>
      <c r="B352" s="28"/>
      <c r="C352" s="28"/>
      <c r="D352" s="29">
        <f t="shared" si="11"/>
        <v>0</v>
      </c>
      <c r="E352" s="28"/>
      <c r="F352" s="28"/>
      <c r="G352" s="29">
        <f t="shared" si="12"/>
        <v>0</v>
      </c>
      <c r="H352" s="30">
        <v>700</v>
      </c>
      <c r="I352" s="19">
        <f t="shared" si="10"/>
        <v>0</v>
      </c>
    </row>
    <row r="353" spans="1:9" x14ac:dyDescent="0.3">
      <c r="A353" s="28" t="s">
        <v>262</v>
      </c>
      <c r="B353" s="28"/>
      <c r="C353" s="28"/>
      <c r="D353" s="29">
        <f t="shared" si="11"/>
        <v>0</v>
      </c>
      <c r="E353" s="28"/>
      <c r="F353" s="28"/>
      <c r="G353" s="29">
        <f t="shared" si="12"/>
        <v>0</v>
      </c>
      <c r="H353" s="30">
        <v>8000</v>
      </c>
      <c r="I353" s="19">
        <f t="shared" si="10"/>
        <v>0</v>
      </c>
    </row>
    <row r="354" spans="1:9" x14ac:dyDescent="0.3">
      <c r="A354" s="28" t="s">
        <v>140</v>
      </c>
      <c r="B354" s="28"/>
      <c r="C354" s="28"/>
      <c r="D354" s="29">
        <f t="shared" si="11"/>
        <v>0</v>
      </c>
      <c r="E354" s="28"/>
      <c r="F354" s="28"/>
      <c r="G354" s="29">
        <f t="shared" si="12"/>
        <v>0</v>
      </c>
      <c r="H354" s="30">
        <v>6</v>
      </c>
      <c r="I354" s="19">
        <f t="shared" si="10"/>
        <v>0</v>
      </c>
    </row>
    <row r="355" spans="1:9" x14ac:dyDescent="0.3">
      <c r="A355" s="28" t="s">
        <v>147</v>
      </c>
      <c r="B355" s="28"/>
      <c r="C355" s="28"/>
      <c r="D355" s="29">
        <f t="shared" si="11"/>
        <v>0</v>
      </c>
      <c r="E355" s="28"/>
      <c r="F355" s="28"/>
      <c r="G355" s="29">
        <f t="shared" si="12"/>
        <v>0</v>
      </c>
      <c r="H355" s="30">
        <v>2000</v>
      </c>
      <c r="I355" s="19">
        <f t="shared" si="10"/>
        <v>0</v>
      </c>
    </row>
    <row r="356" spans="1:9" x14ac:dyDescent="0.3">
      <c r="A356" s="28" t="s">
        <v>237</v>
      </c>
      <c r="B356" s="28"/>
      <c r="C356" s="28"/>
      <c r="D356" s="29">
        <f t="shared" si="11"/>
        <v>0</v>
      </c>
      <c r="E356" s="28"/>
      <c r="F356" s="28"/>
      <c r="G356" s="29">
        <f t="shared" si="12"/>
        <v>0</v>
      </c>
      <c r="H356" s="30">
        <v>180</v>
      </c>
      <c r="I356" s="19">
        <f t="shared" si="10"/>
        <v>0</v>
      </c>
    </row>
    <row r="357" spans="1:9" x14ac:dyDescent="0.3">
      <c r="A357" s="28" t="s">
        <v>144</v>
      </c>
      <c r="B357" s="28"/>
      <c r="C357" s="28"/>
      <c r="D357" s="29">
        <f t="shared" si="11"/>
        <v>0</v>
      </c>
      <c r="E357" s="28"/>
      <c r="F357" s="28"/>
      <c r="G357" s="29">
        <f t="shared" si="12"/>
        <v>0</v>
      </c>
      <c r="H357" s="30">
        <v>5000</v>
      </c>
      <c r="I357" s="19">
        <f t="shared" si="10"/>
        <v>0</v>
      </c>
    </row>
    <row r="358" spans="1:9" x14ac:dyDescent="0.3">
      <c r="A358" s="28" t="s">
        <v>145</v>
      </c>
      <c r="B358" s="28"/>
      <c r="C358" s="28"/>
      <c r="D358" s="29">
        <f t="shared" si="11"/>
        <v>0</v>
      </c>
      <c r="E358" s="28"/>
      <c r="F358" s="28"/>
      <c r="G358" s="29">
        <f t="shared" si="12"/>
        <v>0</v>
      </c>
      <c r="H358" s="30">
        <v>7500</v>
      </c>
      <c r="I358" s="19">
        <f t="shared" si="10"/>
        <v>0</v>
      </c>
    </row>
    <row r="359" spans="1:9" x14ac:dyDescent="0.3">
      <c r="A359" s="28" t="s">
        <v>228</v>
      </c>
      <c r="B359" s="28"/>
      <c r="C359" s="28"/>
      <c r="D359" s="29">
        <f t="shared" si="11"/>
        <v>0</v>
      </c>
      <c r="E359" s="28"/>
      <c r="F359" s="28"/>
      <c r="G359" s="29">
        <f t="shared" si="12"/>
        <v>0</v>
      </c>
      <c r="H359" s="30">
        <v>70</v>
      </c>
      <c r="I359" s="19">
        <f t="shared" si="10"/>
        <v>0</v>
      </c>
    </row>
    <row r="360" spans="1:9" x14ac:dyDescent="0.3">
      <c r="A360" s="28" t="s">
        <v>340</v>
      </c>
      <c r="B360" s="28"/>
      <c r="C360" s="28"/>
      <c r="D360" s="29">
        <f t="shared" si="11"/>
        <v>0</v>
      </c>
      <c r="E360" s="28"/>
      <c r="F360" s="28"/>
      <c r="G360" s="29">
        <f t="shared" si="12"/>
        <v>0</v>
      </c>
      <c r="H360" s="30">
        <v>1400</v>
      </c>
      <c r="I360" s="19">
        <f t="shared" si="10"/>
        <v>0</v>
      </c>
    </row>
    <row r="361" spans="1:9" x14ac:dyDescent="0.3">
      <c r="A361" s="28" t="s">
        <v>341</v>
      </c>
      <c r="B361" s="28"/>
      <c r="C361" s="28"/>
      <c r="D361" s="29">
        <f t="shared" si="11"/>
        <v>0</v>
      </c>
      <c r="E361" s="28"/>
      <c r="F361" s="28"/>
      <c r="G361" s="29">
        <f t="shared" si="12"/>
        <v>0</v>
      </c>
      <c r="H361" s="30">
        <v>1200</v>
      </c>
      <c r="I361" s="19">
        <f t="shared" si="10"/>
        <v>0</v>
      </c>
    </row>
    <row r="362" spans="1:9" x14ac:dyDescent="0.3">
      <c r="A362" s="28" t="s">
        <v>209</v>
      </c>
      <c r="B362" s="28"/>
      <c r="C362" s="28"/>
      <c r="D362" s="29">
        <f t="shared" si="11"/>
        <v>0</v>
      </c>
      <c r="E362" s="28"/>
      <c r="F362" s="28"/>
      <c r="G362" s="29">
        <f t="shared" si="12"/>
        <v>0</v>
      </c>
      <c r="H362" s="30">
        <v>30</v>
      </c>
      <c r="I362" s="19">
        <f t="shared" si="10"/>
        <v>0</v>
      </c>
    </row>
    <row r="363" spans="1:9" x14ac:dyDescent="0.3">
      <c r="A363" s="28" t="s">
        <v>261</v>
      </c>
      <c r="B363" s="28"/>
      <c r="C363" s="28"/>
      <c r="D363" s="29">
        <f t="shared" si="11"/>
        <v>0</v>
      </c>
      <c r="E363" s="28"/>
      <c r="F363" s="28"/>
      <c r="G363" s="29">
        <f t="shared" si="12"/>
        <v>0</v>
      </c>
      <c r="H363" s="30">
        <v>32</v>
      </c>
      <c r="I363" s="19">
        <f t="shared" si="10"/>
        <v>0</v>
      </c>
    </row>
    <row r="364" spans="1:9" x14ac:dyDescent="0.3">
      <c r="A364" s="28" t="s">
        <v>244</v>
      </c>
      <c r="B364" s="28"/>
      <c r="C364" s="28"/>
      <c r="D364" s="29">
        <f t="shared" si="11"/>
        <v>0</v>
      </c>
      <c r="E364" s="28"/>
      <c r="F364" s="28"/>
      <c r="G364" s="29">
        <f t="shared" si="12"/>
        <v>0</v>
      </c>
      <c r="H364" s="30">
        <v>2000</v>
      </c>
      <c r="I364" s="19">
        <f t="shared" si="10"/>
        <v>0</v>
      </c>
    </row>
    <row r="365" spans="1:9" x14ac:dyDescent="0.3">
      <c r="A365" s="28" t="s">
        <v>281</v>
      </c>
      <c r="B365" s="28"/>
      <c r="C365" s="28"/>
      <c r="D365" s="29">
        <f t="shared" si="11"/>
        <v>0</v>
      </c>
      <c r="E365" s="28"/>
      <c r="F365" s="28"/>
      <c r="G365" s="29">
        <f t="shared" si="12"/>
        <v>0</v>
      </c>
      <c r="H365" s="30">
        <v>1450</v>
      </c>
      <c r="I365" s="19">
        <f t="shared" si="10"/>
        <v>0</v>
      </c>
    </row>
    <row r="366" spans="1:9" x14ac:dyDescent="0.3">
      <c r="A366" s="28" t="s">
        <v>231</v>
      </c>
      <c r="B366" s="28"/>
      <c r="C366" s="28"/>
      <c r="D366" s="29">
        <f t="shared" si="11"/>
        <v>0</v>
      </c>
      <c r="E366" s="28"/>
      <c r="F366" s="28"/>
      <c r="G366" s="29">
        <f t="shared" si="12"/>
        <v>0</v>
      </c>
      <c r="H366" s="30">
        <v>300</v>
      </c>
      <c r="I366" s="19">
        <f t="shared" si="10"/>
        <v>0</v>
      </c>
    </row>
    <row r="367" spans="1:9" x14ac:dyDescent="0.3">
      <c r="A367" s="28" t="s">
        <v>232</v>
      </c>
      <c r="B367" s="28"/>
      <c r="C367" s="28"/>
      <c r="D367" s="29">
        <f t="shared" si="11"/>
        <v>0</v>
      </c>
      <c r="E367" s="28"/>
      <c r="F367" s="28"/>
      <c r="G367" s="29">
        <f t="shared" si="12"/>
        <v>0</v>
      </c>
      <c r="H367" s="30">
        <v>500</v>
      </c>
      <c r="I367" s="19">
        <f t="shared" si="10"/>
        <v>0</v>
      </c>
    </row>
    <row r="368" spans="1:9" x14ac:dyDescent="0.3">
      <c r="A368" s="28" t="s">
        <v>227</v>
      </c>
      <c r="B368" s="28"/>
      <c r="C368" s="28"/>
      <c r="D368" s="29">
        <f t="shared" si="11"/>
        <v>0</v>
      </c>
      <c r="E368" s="28"/>
      <c r="F368" s="28"/>
      <c r="G368" s="29">
        <f t="shared" si="12"/>
        <v>0</v>
      </c>
      <c r="H368" s="30">
        <v>120</v>
      </c>
      <c r="I368" s="19">
        <f t="shared" si="10"/>
        <v>0</v>
      </c>
    </row>
    <row r="369" spans="1:9" x14ac:dyDescent="0.3">
      <c r="A369" s="28" t="s">
        <v>277</v>
      </c>
      <c r="B369" s="28"/>
      <c r="C369" s="28"/>
      <c r="D369" s="29">
        <f t="shared" si="11"/>
        <v>0</v>
      </c>
      <c r="E369" s="28"/>
      <c r="F369" s="28"/>
      <c r="G369" s="29">
        <f t="shared" si="12"/>
        <v>0</v>
      </c>
      <c r="H369" s="30"/>
      <c r="I369" s="19">
        <f t="shared" si="10"/>
        <v>0</v>
      </c>
    </row>
    <row r="370" spans="1:9" x14ac:dyDescent="0.3">
      <c r="A370" s="28" t="s">
        <v>236</v>
      </c>
      <c r="B370" s="28"/>
      <c r="C370" s="28"/>
      <c r="D370" s="29">
        <f t="shared" si="11"/>
        <v>0</v>
      </c>
      <c r="E370" s="28"/>
      <c r="F370" s="28"/>
      <c r="G370" s="29">
        <f t="shared" si="12"/>
        <v>0</v>
      </c>
      <c r="H370" s="30">
        <v>65</v>
      </c>
      <c r="I370" s="19">
        <f t="shared" si="10"/>
        <v>0</v>
      </c>
    </row>
    <row r="371" spans="1:9" x14ac:dyDescent="0.3">
      <c r="A371" s="28" t="s">
        <v>322</v>
      </c>
      <c r="B371" s="28"/>
      <c r="C371" s="28"/>
      <c r="D371" s="29">
        <f t="shared" si="11"/>
        <v>0</v>
      </c>
      <c r="E371" s="28"/>
      <c r="F371" s="28"/>
      <c r="G371" s="29">
        <f t="shared" si="12"/>
        <v>0</v>
      </c>
      <c r="H371" s="30">
        <v>6500</v>
      </c>
      <c r="I371" s="19">
        <f t="shared" si="10"/>
        <v>0</v>
      </c>
    </row>
    <row r="372" spans="1:9" x14ac:dyDescent="0.3">
      <c r="A372" s="28" t="s">
        <v>335</v>
      </c>
      <c r="B372" s="28"/>
      <c r="C372" s="28"/>
      <c r="D372" s="29">
        <f t="shared" si="11"/>
        <v>0</v>
      </c>
      <c r="E372" s="28"/>
      <c r="F372" s="28"/>
      <c r="G372" s="29">
        <f t="shared" si="12"/>
        <v>0</v>
      </c>
      <c r="H372" s="30">
        <v>1050</v>
      </c>
      <c r="I372" s="19">
        <f t="shared" si="10"/>
        <v>0</v>
      </c>
    </row>
    <row r="373" spans="1:9" x14ac:dyDescent="0.3">
      <c r="A373" s="28" t="s">
        <v>299</v>
      </c>
      <c r="B373" s="28"/>
      <c r="C373" s="28"/>
      <c r="D373" s="29">
        <f t="shared" si="11"/>
        <v>0</v>
      </c>
      <c r="E373" s="28"/>
      <c r="F373" s="28"/>
      <c r="G373" s="29">
        <f t="shared" si="12"/>
        <v>0</v>
      </c>
      <c r="H373" s="30">
        <v>1400</v>
      </c>
      <c r="I373" s="19">
        <f t="shared" si="10"/>
        <v>0</v>
      </c>
    </row>
    <row r="374" spans="1:9" x14ac:dyDescent="0.3">
      <c r="A374" s="28" t="s">
        <v>226</v>
      </c>
      <c r="B374" s="28"/>
      <c r="C374" s="28"/>
      <c r="D374" s="29">
        <f t="shared" si="11"/>
        <v>0</v>
      </c>
      <c r="E374" s="28"/>
      <c r="F374" s="28"/>
      <c r="G374" s="29">
        <f t="shared" si="12"/>
        <v>0</v>
      </c>
      <c r="H374" s="30">
        <v>300</v>
      </c>
      <c r="I374" s="19">
        <f t="shared" si="10"/>
        <v>0</v>
      </c>
    </row>
    <row r="375" spans="1:9" x14ac:dyDescent="0.3">
      <c r="A375" s="28" t="s">
        <v>271</v>
      </c>
      <c r="B375" s="28"/>
      <c r="C375" s="28"/>
      <c r="D375" s="29">
        <f t="shared" si="11"/>
        <v>0</v>
      </c>
      <c r="E375" s="28"/>
      <c r="F375" s="28"/>
      <c r="G375" s="29">
        <f t="shared" si="12"/>
        <v>0</v>
      </c>
      <c r="H375" s="30">
        <v>7000</v>
      </c>
      <c r="I375" s="19">
        <f t="shared" si="10"/>
        <v>0</v>
      </c>
    </row>
    <row r="376" spans="1:9" x14ac:dyDescent="0.3">
      <c r="I376" s="39">
        <f>SUM(I6:I375)</f>
        <v>1711030</v>
      </c>
    </row>
  </sheetData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56"/>
  <sheetViews>
    <sheetView tabSelected="1" zoomScale="95" zoomScaleNormal="95" workbookViewId="0">
      <selection activeCell="A35" sqref="A35"/>
    </sheetView>
  </sheetViews>
  <sheetFormatPr defaultColWidth="9.109375" defaultRowHeight="15.6" x14ac:dyDescent="0.3"/>
  <cols>
    <col min="1" max="1" width="11.6640625" style="14" customWidth="1"/>
    <col min="2" max="2" width="10.33203125" style="1" customWidth="1"/>
    <col min="3" max="3" width="12.33203125" style="1" customWidth="1"/>
    <col min="4" max="6" width="9.109375" style="1"/>
    <col min="7" max="7" width="11.33203125" style="1" bestFit="1" customWidth="1"/>
    <col min="8" max="10" width="9.109375" style="1"/>
    <col min="11" max="11" width="13.44140625" style="1" customWidth="1"/>
    <col min="12" max="16384" width="9.109375" style="1"/>
  </cols>
  <sheetData>
    <row r="1" spans="1:14" s="11" customFormat="1" ht="17.25" customHeight="1" x14ac:dyDescent="0.3">
      <c r="A1" s="55" t="s">
        <v>426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4" s="11" customFormat="1" x14ac:dyDescent="0.3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</row>
    <row r="3" spans="1:14" s="11" customFormat="1" x14ac:dyDescent="0.3">
      <c r="A3" s="12" t="s">
        <v>124</v>
      </c>
      <c r="B3" s="11" t="s">
        <v>125</v>
      </c>
      <c r="C3" s="11" t="s">
        <v>272</v>
      </c>
      <c r="D3" s="11" t="s">
        <v>202</v>
      </c>
      <c r="E3" s="11" t="s">
        <v>126</v>
      </c>
      <c r="F3" s="11" t="s">
        <v>127</v>
      </c>
      <c r="G3" s="11" t="s">
        <v>128</v>
      </c>
      <c r="H3" s="11" t="s">
        <v>129</v>
      </c>
      <c r="I3" s="11" t="s">
        <v>130</v>
      </c>
      <c r="J3" s="11" t="s">
        <v>252</v>
      </c>
      <c r="K3" s="11" t="s">
        <v>313</v>
      </c>
      <c r="L3" s="11" t="s">
        <v>131</v>
      </c>
      <c r="M3" s="11" t="s">
        <v>132</v>
      </c>
    </row>
    <row r="4" spans="1:14" x14ac:dyDescent="0.3">
      <c r="A4" s="13">
        <v>45664</v>
      </c>
      <c r="G4" s="1">
        <f>9500+1000+13200+22000</f>
        <v>45700</v>
      </c>
      <c r="M4" s="1">
        <f>B4+C4+D4+E4+F4+G4+H4+I4+J4+K4+L4</f>
        <v>45700</v>
      </c>
    </row>
    <row r="5" spans="1:14" x14ac:dyDescent="0.3">
      <c r="A5" s="13">
        <v>45695</v>
      </c>
      <c r="G5" s="1">
        <f>1000+15000+2500+15000</f>
        <v>33500</v>
      </c>
      <c r="M5" s="1">
        <f t="shared" ref="M5:M34" si="0">B5+C5+D5+E5+F5+G5+H5+I5+J5+K5+L5</f>
        <v>33500</v>
      </c>
    </row>
    <row r="6" spans="1:14" x14ac:dyDescent="0.3">
      <c r="A6" s="13">
        <v>45723</v>
      </c>
      <c r="E6" s="1">
        <f>10000</f>
        <v>10000</v>
      </c>
      <c r="G6" s="1">
        <f>8000</f>
        <v>8000</v>
      </c>
      <c r="L6" s="1">
        <f>2000</f>
        <v>2000</v>
      </c>
      <c r="M6" s="1">
        <f t="shared" si="0"/>
        <v>20000</v>
      </c>
    </row>
    <row r="7" spans="1:14" x14ac:dyDescent="0.3">
      <c r="A7" s="13">
        <v>45754</v>
      </c>
      <c r="E7" s="1">
        <f>11000</f>
        <v>11000</v>
      </c>
      <c r="G7" s="1">
        <f>1000+10000+17700+2000+7000+6000+3300</f>
        <v>47000</v>
      </c>
      <c r="M7" s="1">
        <f t="shared" si="0"/>
        <v>58000</v>
      </c>
    </row>
    <row r="8" spans="1:14" x14ac:dyDescent="0.3">
      <c r="A8" s="13">
        <v>45784</v>
      </c>
      <c r="G8" s="1">
        <f>10000+20000+31200+6000+1000</f>
        <v>68200</v>
      </c>
      <c r="M8" s="1">
        <f t="shared" si="0"/>
        <v>68200</v>
      </c>
    </row>
    <row r="9" spans="1:14" x14ac:dyDescent="0.3">
      <c r="A9" s="13">
        <v>45815</v>
      </c>
      <c r="G9" s="1">
        <f>4000+4000+1000</f>
        <v>9000</v>
      </c>
      <c r="M9" s="1">
        <f t="shared" si="0"/>
        <v>9000</v>
      </c>
    </row>
    <row r="10" spans="1:14" x14ac:dyDescent="0.3">
      <c r="A10" s="13">
        <v>45845</v>
      </c>
      <c r="G10" s="1">
        <f>12000+9200+6000</f>
        <v>27200</v>
      </c>
      <c r="M10" s="1">
        <f t="shared" si="0"/>
        <v>27200</v>
      </c>
    </row>
    <row r="11" spans="1:14" x14ac:dyDescent="0.3">
      <c r="A11" s="13">
        <v>45876</v>
      </c>
      <c r="G11" s="1">
        <f>10000+17000</f>
        <v>27000</v>
      </c>
      <c r="M11" s="1">
        <f t="shared" si="0"/>
        <v>27000</v>
      </c>
    </row>
    <row r="12" spans="1:14" x14ac:dyDescent="0.3">
      <c r="A12" s="13">
        <v>45907</v>
      </c>
      <c r="E12" s="1">
        <f>9000+13000+9000</f>
        <v>31000</v>
      </c>
      <c r="G12" s="1">
        <f>17000+10000+4300+63000+16000</f>
        <v>110300</v>
      </c>
      <c r="M12" s="1">
        <f t="shared" si="0"/>
        <v>141300</v>
      </c>
    </row>
    <row r="13" spans="1:14" x14ac:dyDescent="0.3">
      <c r="A13" s="13">
        <v>45937</v>
      </c>
      <c r="E13" s="1">
        <f>10000+15000+1000+9000</f>
        <v>35000</v>
      </c>
      <c r="G13" s="1">
        <f>1000+5000+7000+5500+28000+17300+8000+7000+1000</f>
        <v>79800</v>
      </c>
      <c r="M13" s="1">
        <f t="shared" si="0"/>
        <v>114800</v>
      </c>
    </row>
    <row r="14" spans="1:14" x14ac:dyDescent="0.3">
      <c r="A14" s="13">
        <v>45968</v>
      </c>
      <c r="G14" s="1">
        <f>59200+40000+10000+10000</f>
        <v>119200</v>
      </c>
      <c r="M14" s="1">
        <f t="shared" si="0"/>
        <v>119200</v>
      </c>
    </row>
    <row r="15" spans="1:14" x14ac:dyDescent="0.3">
      <c r="A15" s="13">
        <v>45998</v>
      </c>
      <c r="G15" s="1">
        <f>5200+14300+1000+3000+28300+4000+5000+70450+26300+1000</f>
        <v>158550</v>
      </c>
      <c r="M15" s="1">
        <f t="shared" si="0"/>
        <v>158550</v>
      </c>
    </row>
    <row r="16" spans="1:14" x14ac:dyDescent="0.3">
      <c r="A16" s="13" t="s">
        <v>427</v>
      </c>
      <c r="G16" s="1">
        <f>30000+2800+5000+10000+4200+3200</f>
        <v>55200</v>
      </c>
      <c r="M16" s="1">
        <f t="shared" si="0"/>
        <v>55200</v>
      </c>
    </row>
    <row r="17" spans="1:20" x14ac:dyDescent="0.3">
      <c r="A17" s="13" t="s">
        <v>428</v>
      </c>
      <c r="G17" s="1">
        <f>10000+10600+6500+4200+35000</f>
        <v>66300</v>
      </c>
      <c r="M17" s="1">
        <f t="shared" si="0"/>
        <v>66300</v>
      </c>
    </row>
    <row r="18" spans="1:20" x14ac:dyDescent="0.3">
      <c r="A18" s="13" t="s">
        <v>429</v>
      </c>
      <c r="E18" s="1">
        <f>1000+8000</f>
        <v>9000</v>
      </c>
      <c r="G18" s="1">
        <f>14900+6200+11200+2800+3000+4000+12200+1000+5000+3200+169300+21200+1500+16400+5000+28000+2200</f>
        <v>307100</v>
      </c>
      <c r="M18" s="1">
        <f t="shared" si="0"/>
        <v>316100</v>
      </c>
    </row>
    <row r="19" spans="1:20" x14ac:dyDescent="0.3">
      <c r="A19" s="13" t="s">
        <v>430</v>
      </c>
      <c r="E19" s="1">
        <f>4000</f>
        <v>4000</v>
      </c>
      <c r="G19" s="1">
        <f>5500+10200</f>
        <v>15700</v>
      </c>
      <c r="M19" s="1">
        <f t="shared" si="0"/>
        <v>19700</v>
      </c>
    </row>
    <row r="20" spans="1:20" x14ac:dyDescent="0.3">
      <c r="A20" s="13" t="s">
        <v>431</v>
      </c>
      <c r="C20" s="1">
        <v>100000</v>
      </c>
      <c r="G20" s="1">
        <f>14000+70000+3000+7000+5000+228000+36000</f>
        <v>363000</v>
      </c>
      <c r="M20" s="1">
        <f t="shared" si="0"/>
        <v>463000</v>
      </c>
    </row>
    <row r="21" spans="1:20" x14ac:dyDescent="0.3">
      <c r="A21" s="14" t="s">
        <v>432</v>
      </c>
      <c r="E21" s="1">
        <f>13000+5000</f>
        <v>18000</v>
      </c>
      <c r="G21" s="1">
        <f>10000+39400+13500+5700+8000+1000+22000</f>
        <v>99600</v>
      </c>
      <c r="M21" s="1">
        <f t="shared" si="0"/>
        <v>117600</v>
      </c>
    </row>
    <row r="22" spans="1:20" x14ac:dyDescent="0.3">
      <c r="A22" s="14" t="s">
        <v>433</v>
      </c>
      <c r="G22" s="1">
        <f>20200+14700+29250+30000</f>
        <v>94150</v>
      </c>
      <c r="M22" s="1">
        <f t="shared" si="0"/>
        <v>94150</v>
      </c>
    </row>
    <row r="23" spans="1:20" x14ac:dyDescent="0.3">
      <c r="A23" s="14" t="s">
        <v>434</v>
      </c>
      <c r="G23" s="1">
        <f>20000+14000+2000</f>
        <v>36000</v>
      </c>
      <c r="M23" s="1">
        <f t="shared" si="0"/>
        <v>36000</v>
      </c>
    </row>
    <row r="24" spans="1:20" x14ac:dyDescent="0.3">
      <c r="A24" s="14" t="s">
        <v>435</v>
      </c>
      <c r="E24" s="1">
        <f>5000</f>
        <v>5000</v>
      </c>
      <c r="G24" s="1">
        <f>6000+4200+2000</f>
        <v>12200</v>
      </c>
      <c r="M24" s="1">
        <f t="shared" si="0"/>
        <v>17200</v>
      </c>
    </row>
    <row r="25" spans="1:20" x14ac:dyDescent="0.3">
      <c r="A25" s="14" t="s">
        <v>436</v>
      </c>
      <c r="G25" s="1">
        <f>8000+9000+3800+5500+10000+1000+3200+22200</f>
        <v>62700</v>
      </c>
      <c r="M25" s="1">
        <f t="shared" si="0"/>
        <v>62700</v>
      </c>
    </row>
    <row r="26" spans="1:20" x14ac:dyDescent="0.3">
      <c r="A26" s="14" t="s">
        <v>437</v>
      </c>
      <c r="G26" s="1">
        <f>16200+11000+3000+106200+2000+9000</f>
        <v>147400</v>
      </c>
      <c r="M26" s="1">
        <f t="shared" si="0"/>
        <v>147400</v>
      </c>
      <c r="Q26" s="1">
        <f>15000+9500+22000+15000+13200+3300+17700+31200+10000+9200+16000+5500</f>
        <v>167600</v>
      </c>
      <c r="S26" s="1">
        <f>253550-102250</f>
        <v>151300</v>
      </c>
      <c r="T26" s="1">
        <f>S26-231530-70300</f>
        <v>-150530</v>
      </c>
    </row>
    <row r="27" spans="1:20" x14ac:dyDescent="0.3">
      <c r="A27" s="14" t="s">
        <v>438</v>
      </c>
      <c r="E27" s="1">
        <f>3000</f>
        <v>3000</v>
      </c>
      <c r="G27" s="1">
        <f>4500+8000+5200</f>
        <v>17700</v>
      </c>
      <c r="M27" s="1">
        <f t="shared" si="0"/>
        <v>20700</v>
      </c>
      <c r="Q27" s="1">
        <f>59200+40000+28300+14300+2800+30000+10000+35000+1500+2200</f>
        <v>223300</v>
      </c>
      <c r="S27" s="1">
        <f>470200-Q27</f>
        <v>246900</v>
      </c>
      <c r="T27" s="1">
        <f>S27+T26+24450</f>
        <v>120820</v>
      </c>
    </row>
    <row r="28" spans="1:20" x14ac:dyDescent="0.3">
      <c r="A28" s="14" t="s">
        <v>439</v>
      </c>
      <c r="E28" s="1">
        <f>2500</f>
        <v>2500</v>
      </c>
      <c r="G28" s="1">
        <f>18500+1000+4500+21200+20250+9000</f>
        <v>74450</v>
      </c>
      <c r="I28" s="1">
        <v>38000</v>
      </c>
      <c r="M28" s="1">
        <f t="shared" si="0"/>
        <v>114950</v>
      </c>
      <c r="Q28" s="1">
        <f>3200+2800+11200+1000+3000+14900+1500+169300+4000+10200+3000+228000+36000+5000+14000+14700+170000+7000+13000+22000+5000+13500+8000+20200+30000+14000+106200</f>
        <v>930700</v>
      </c>
      <c r="S28" s="1">
        <f>546900-Q28</f>
        <v>-383800</v>
      </c>
      <c r="T28" s="1">
        <f>S28+T27-166800</f>
        <v>-429780</v>
      </c>
    </row>
    <row r="29" spans="1:20" x14ac:dyDescent="0.3">
      <c r="A29" s="14" t="s">
        <v>440</v>
      </c>
      <c r="G29" s="1">
        <f>1500+27400+1000+15200</f>
        <v>45100</v>
      </c>
      <c r="M29" s="1">
        <f t="shared" si="0"/>
        <v>45100</v>
      </c>
      <c r="Q29" s="1">
        <f>8000+22200+9000+4500+9000+15200+9300+40000+5000+5500+8000+246000+21300+5000+5000+6000</f>
        <v>419000</v>
      </c>
    </row>
    <row r="30" spans="1:20" x14ac:dyDescent="0.3">
      <c r="A30" s="14" t="s">
        <v>441</v>
      </c>
      <c r="G30" s="1">
        <f>5000+10000+9300+40000+8000+5000</f>
        <v>77300</v>
      </c>
      <c r="M30" s="1">
        <f t="shared" si="0"/>
        <v>77300</v>
      </c>
    </row>
    <row r="31" spans="1:20" x14ac:dyDescent="0.3">
      <c r="A31" s="14" t="s">
        <v>442</v>
      </c>
      <c r="E31" s="1">
        <f>8000+5000+5000</f>
        <v>18000</v>
      </c>
      <c r="G31" s="1">
        <f>4350+6000+5500+5500</f>
        <v>21350</v>
      </c>
      <c r="M31" s="1">
        <f t="shared" si="0"/>
        <v>39350</v>
      </c>
      <c r="Q31" s="1">
        <f>SUM(Q25:Q30)</f>
        <v>1740600</v>
      </c>
    </row>
    <row r="32" spans="1:20" x14ac:dyDescent="0.3">
      <c r="A32" s="14" t="s">
        <v>443</v>
      </c>
      <c r="G32" s="1">
        <f>6000+27200+30500+8000</f>
        <v>71700</v>
      </c>
      <c r="M32" s="1">
        <f t="shared" si="0"/>
        <v>71700</v>
      </c>
    </row>
    <row r="33" spans="1:13" x14ac:dyDescent="0.3">
      <c r="A33" s="14" t="s">
        <v>444</v>
      </c>
      <c r="G33" s="1">
        <f>7500+6000+12500+100000</f>
        <v>126000</v>
      </c>
      <c r="M33" s="1">
        <f t="shared" si="0"/>
        <v>126000</v>
      </c>
    </row>
    <row r="34" spans="1:13" x14ac:dyDescent="0.3">
      <c r="A34" s="14" t="s">
        <v>445</v>
      </c>
      <c r="E34" s="1">
        <f>5000+5000+5000</f>
        <v>15000</v>
      </c>
      <c r="G34" s="1">
        <f>4000+6000+21300+146000</f>
        <v>177300</v>
      </c>
      <c r="M34" s="1">
        <f t="shared" si="0"/>
        <v>192300</v>
      </c>
    </row>
    <row r="35" spans="1:13" x14ac:dyDescent="0.3">
      <c r="B35" s="1">
        <f>SUM(B4:B34)</f>
        <v>0</v>
      </c>
      <c r="C35" s="1">
        <f>SUM(C4:C34)</f>
        <v>100000</v>
      </c>
      <c r="D35" s="1">
        <f t="shared" ref="D35:L35" si="1">SUM(D4:D34)</f>
        <v>0</v>
      </c>
      <c r="E35" s="15">
        <f t="shared" si="1"/>
        <v>161500</v>
      </c>
      <c r="F35" s="1">
        <f t="shared" si="1"/>
        <v>0</v>
      </c>
      <c r="G35" s="15">
        <f t="shared" si="1"/>
        <v>2603700</v>
      </c>
      <c r="H35" s="15">
        <f t="shared" si="1"/>
        <v>0</v>
      </c>
      <c r="I35" s="15">
        <f t="shared" si="1"/>
        <v>38000</v>
      </c>
      <c r="J35" s="15">
        <f t="shared" si="1"/>
        <v>0</v>
      </c>
      <c r="K35" s="51">
        <f>SUM(K4:K34)</f>
        <v>0</v>
      </c>
      <c r="L35" s="15">
        <f t="shared" si="1"/>
        <v>2000</v>
      </c>
      <c r="M35" s="11">
        <f>SUM(M4:M34)</f>
        <v>2905200</v>
      </c>
    </row>
    <row r="37" spans="1:13" x14ac:dyDescent="0.3">
      <c r="D37" s="1" t="s">
        <v>156</v>
      </c>
    </row>
    <row r="38" spans="1:13" x14ac:dyDescent="0.3">
      <c r="B38" s="1" t="s">
        <v>125</v>
      </c>
      <c r="D38" s="1">
        <f>B35/M35*100</f>
        <v>0</v>
      </c>
    </row>
    <row r="39" spans="1:13" x14ac:dyDescent="0.3">
      <c r="B39" s="1" t="s">
        <v>272</v>
      </c>
      <c r="D39" s="1">
        <f>C35/M35*100</f>
        <v>3.442103813851026</v>
      </c>
    </row>
    <row r="40" spans="1:13" x14ac:dyDescent="0.3">
      <c r="B40" s="1" t="s">
        <v>202</v>
      </c>
      <c r="D40" s="1">
        <f>D35/M35*100</f>
        <v>0</v>
      </c>
      <c r="H40" s="11" t="s">
        <v>160</v>
      </c>
    </row>
    <row r="41" spans="1:13" x14ac:dyDescent="0.3">
      <c r="B41" s="1" t="str">
        <f>E3</f>
        <v>LAB</v>
      </c>
      <c r="D41" s="1">
        <f>E35/M35*100</f>
        <v>5.5589976593694068</v>
      </c>
    </row>
    <row r="42" spans="1:13" x14ac:dyDescent="0.3">
      <c r="B42" s="1" t="s">
        <v>127</v>
      </c>
      <c r="D42" s="1">
        <f>F35/M35*100</f>
        <v>0</v>
      </c>
      <c r="G42" s="15" t="s">
        <v>169</v>
      </c>
      <c r="H42" s="1">
        <f>E35+G35+H35+I35+L35+J35</f>
        <v>2805200</v>
      </c>
    </row>
    <row r="43" spans="1:13" x14ac:dyDescent="0.3">
      <c r="B43" s="1" t="s">
        <v>128</v>
      </c>
      <c r="D43" s="1">
        <f>G35/M35*100</f>
        <v>89.622057001239156</v>
      </c>
    </row>
    <row r="44" spans="1:13" x14ac:dyDescent="0.3">
      <c r="B44" s="1" t="s">
        <v>129</v>
      </c>
      <c r="D44" s="1">
        <f>H35/M35*100</f>
        <v>0</v>
      </c>
      <c r="F44" s="1" t="s">
        <v>170</v>
      </c>
      <c r="G44" s="1" t="s">
        <v>193</v>
      </c>
      <c r="H44" s="1">
        <f>B35+F35+D35+C35+K35</f>
        <v>100000</v>
      </c>
    </row>
    <row r="45" spans="1:13" x14ac:dyDescent="0.3">
      <c r="B45" s="1" t="s">
        <v>130</v>
      </c>
      <c r="D45" s="1">
        <f>I35/M35*100</f>
        <v>1.3079994492633897</v>
      </c>
      <c r="G45" s="1" t="s">
        <v>132</v>
      </c>
      <c r="H45" s="11">
        <f>SUM(H42:H44)</f>
        <v>2905200</v>
      </c>
      <c r="K45" s="1">
        <f>H46+432300-306500</f>
        <v>239685</v>
      </c>
    </row>
    <row r="46" spans="1:13" ht="16.2" thickBot="1" x14ac:dyDescent="0.35">
      <c r="B46" s="1" t="s">
        <v>303</v>
      </c>
      <c r="D46" s="1">
        <f>J35/M35*100</f>
        <v>0</v>
      </c>
      <c r="F46" s="1" t="s">
        <v>190</v>
      </c>
      <c r="G46" s="1" t="s">
        <v>191</v>
      </c>
      <c r="H46" s="1">
        <v>113885</v>
      </c>
    </row>
    <row r="47" spans="1:13" ht="16.2" thickBot="1" x14ac:dyDescent="0.35">
      <c r="B47" s="1" t="str">
        <f>L3</f>
        <v>DRESSING</v>
      </c>
      <c r="D47" s="1">
        <f>L35/M35*100</f>
        <v>6.8842076277020506E-2</v>
      </c>
      <c r="F47" s="1" t="s">
        <v>132</v>
      </c>
      <c r="G47" s="1" t="s">
        <v>2</v>
      </c>
      <c r="H47" s="16">
        <f>SUM(H45:H46)</f>
        <v>3019085</v>
      </c>
    </row>
    <row r="48" spans="1:13" x14ac:dyDescent="0.3">
      <c r="B48" s="1" t="s">
        <v>314</v>
      </c>
      <c r="D48" s="1">
        <f>K35/M35*100</f>
        <v>0</v>
      </c>
      <c r="H48" s="11"/>
    </row>
    <row r="49" spans="2:10" x14ac:dyDescent="0.3">
      <c r="D49" s="1">
        <f>SUM(D38:D48)</f>
        <v>100</v>
      </c>
    </row>
    <row r="50" spans="2:10" x14ac:dyDescent="0.3">
      <c r="D50" s="1" t="s">
        <v>159</v>
      </c>
    </row>
    <row r="51" spans="2:10" x14ac:dyDescent="0.3">
      <c r="B51" s="1" t="s">
        <v>194</v>
      </c>
    </row>
    <row r="52" spans="2:10" x14ac:dyDescent="0.3">
      <c r="D52" s="1" t="s">
        <v>195</v>
      </c>
      <c r="H52" s="1">
        <f>Q31</f>
        <v>1740600</v>
      </c>
    </row>
    <row r="53" spans="2:10" x14ac:dyDescent="0.3">
      <c r="D53" s="1" t="s">
        <v>164</v>
      </c>
      <c r="H53" s="1">
        <f>[1]IMPREST!E39</f>
        <v>978400</v>
      </c>
    </row>
    <row r="54" spans="2:10" x14ac:dyDescent="0.3">
      <c r="D54" s="1" t="s">
        <v>132</v>
      </c>
      <c r="H54" s="1">
        <f>H52+H53</f>
        <v>2719000</v>
      </c>
      <c r="J54" s="1">
        <f>H47-H56</f>
        <v>300085</v>
      </c>
    </row>
    <row r="55" spans="2:10" ht="16.2" thickBot="1" x14ac:dyDescent="0.35">
      <c r="D55" s="1" t="s">
        <v>196</v>
      </c>
    </row>
    <row r="56" spans="2:10" ht="16.2" thickBot="1" x14ac:dyDescent="0.35">
      <c r="D56" s="1" t="s">
        <v>197</v>
      </c>
      <c r="H56" s="16">
        <f>H54+H55</f>
        <v>2719000</v>
      </c>
    </row>
  </sheetData>
  <mergeCells count="1">
    <mergeCell ref="A1:N2"/>
  </mergeCells>
  <pageMargins left="0.7" right="0.7" top="0.75" bottom="0.75" header="0.3" footer="0.3"/>
  <pageSetup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0"/>
  <sheetViews>
    <sheetView workbookViewId="0">
      <selection sqref="A1:XFD1048576"/>
    </sheetView>
  </sheetViews>
  <sheetFormatPr defaultRowHeight="15.6" x14ac:dyDescent="0.3"/>
  <cols>
    <col min="1" max="1" width="13" style="14" customWidth="1"/>
    <col min="2" max="2" width="37" style="4" customWidth="1"/>
    <col min="3" max="3" width="18.44140625" style="4" customWidth="1"/>
    <col min="4" max="4" width="12.5546875" customWidth="1"/>
  </cols>
  <sheetData>
    <row r="1" spans="1:6" ht="14.25" customHeight="1" x14ac:dyDescent="0.3">
      <c r="A1" s="42" t="s">
        <v>124</v>
      </c>
      <c r="B1" s="43" t="s">
        <v>158</v>
      </c>
      <c r="C1" s="43"/>
      <c r="D1" s="42" t="s">
        <v>157</v>
      </c>
      <c r="E1" s="42" t="s">
        <v>2</v>
      </c>
      <c r="F1" s="42"/>
    </row>
    <row r="2" spans="1:6" x14ac:dyDescent="0.3">
      <c r="A2" s="13">
        <v>45723</v>
      </c>
      <c r="B2" s="46" t="s">
        <v>446</v>
      </c>
      <c r="C2" s="46"/>
      <c r="D2" s="44"/>
      <c r="E2" s="44">
        <v>61800</v>
      </c>
      <c r="F2" s="44"/>
    </row>
    <row r="3" spans="1:6" x14ac:dyDescent="0.3">
      <c r="A3" s="13">
        <v>45723</v>
      </c>
      <c r="B3" s="46" t="s">
        <v>416</v>
      </c>
      <c r="C3" s="46"/>
      <c r="D3" s="44"/>
      <c r="E3" s="44">
        <v>2800</v>
      </c>
      <c r="F3" s="44"/>
    </row>
    <row r="4" spans="1:6" x14ac:dyDescent="0.3">
      <c r="A4" s="13">
        <v>45723</v>
      </c>
      <c r="B4" s="46" t="s">
        <v>447</v>
      </c>
      <c r="C4" s="46"/>
      <c r="D4" s="44"/>
      <c r="E4" s="44">
        <v>10000</v>
      </c>
      <c r="F4" s="44"/>
    </row>
    <row r="5" spans="1:6" x14ac:dyDescent="0.3">
      <c r="A5" s="13">
        <v>45723</v>
      </c>
      <c r="B5" s="46" t="s">
        <v>421</v>
      </c>
      <c r="C5" s="46"/>
      <c r="D5" s="44"/>
      <c r="E5" s="44">
        <v>6000</v>
      </c>
      <c r="F5" s="44"/>
    </row>
    <row r="6" spans="1:6" x14ac:dyDescent="0.3">
      <c r="A6" s="13">
        <v>45723</v>
      </c>
      <c r="B6" s="46" t="s">
        <v>394</v>
      </c>
      <c r="C6" s="46"/>
      <c r="D6" s="44"/>
      <c r="E6" s="44">
        <v>56000</v>
      </c>
      <c r="F6" s="44"/>
    </row>
    <row r="7" spans="1:6" x14ac:dyDescent="0.3">
      <c r="A7" s="13">
        <v>45723</v>
      </c>
      <c r="B7" s="46" t="s">
        <v>448</v>
      </c>
      <c r="C7" s="46"/>
      <c r="D7" s="44"/>
      <c r="E7" s="44">
        <v>6000</v>
      </c>
      <c r="F7" s="44"/>
    </row>
    <row r="8" spans="1:6" x14ac:dyDescent="0.3">
      <c r="A8" s="13">
        <v>45723</v>
      </c>
      <c r="B8" s="46" t="s">
        <v>421</v>
      </c>
      <c r="C8" s="46"/>
      <c r="D8" s="44"/>
      <c r="E8" s="44">
        <v>1500</v>
      </c>
      <c r="F8" s="44"/>
    </row>
    <row r="9" spans="1:6" x14ac:dyDescent="0.3">
      <c r="A9" s="13">
        <v>45723</v>
      </c>
      <c r="B9" s="46" t="s">
        <v>449</v>
      </c>
      <c r="C9" s="46"/>
      <c r="D9" s="44"/>
      <c r="E9" s="44">
        <v>36000</v>
      </c>
      <c r="F9" s="44"/>
    </row>
    <row r="10" spans="1:6" x14ac:dyDescent="0.3">
      <c r="A10" s="13">
        <v>45723</v>
      </c>
      <c r="B10" s="46" t="s">
        <v>450</v>
      </c>
      <c r="C10" s="46"/>
      <c r="D10" s="44"/>
      <c r="E10" s="44">
        <v>7400</v>
      </c>
      <c r="F10" s="44"/>
    </row>
    <row r="11" spans="1:6" x14ac:dyDescent="0.3">
      <c r="A11" s="13">
        <v>45723</v>
      </c>
      <c r="B11" s="46" t="s">
        <v>451</v>
      </c>
      <c r="C11" s="46" t="s">
        <v>420</v>
      </c>
      <c r="D11" s="44"/>
      <c r="E11" s="44">
        <v>124000</v>
      </c>
      <c r="F11" s="44"/>
    </row>
    <row r="12" spans="1:6" x14ac:dyDescent="0.3">
      <c r="A12" s="13">
        <v>45723</v>
      </c>
      <c r="B12" s="46" t="s">
        <v>451</v>
      </c>
      <c r="C12" s="46" t="s">
        <v>420</v>
      </c>
      <c r="D12" s="44"/>
      <c r="E12" s="44">
        <v>257900</v>
      </c>
      <c r="F12" s="44"/>
    </row>
    <row r="13" spans="1:6" x14ac:dyDescent="0.3">
      <c r="A13" s="13" t="s">
        <v>433</v>
      </c>
      <c r="B13" s="46" t="s">
        <v>451</v>
      </c>
      <c r="C13" s="46" t="s">
        <v>420</v>
      </c>
      <c r="D13" s="44"/>
      <c r="E13" s="44">
        <v>288500</v>
      </c>
      <c r="F13" s="44"/>
    </row>
    <row r="14" spans="1:6" x14ac:dyDescent="0.3">
      <c r="A14" s="13" t="s">
        <v>433</v>
      </c>
      <c r="B14" s="46" t="s">
        <v>421</v>
      </c>
      <c r="C14" s="46"/>
      <c r="D14" s="44"/>
      <c r="E14" s="44">
        <v>5000</v>
      </c>
      <c r="F14" s="44"/>
    </row>
    <row r="15" spans="1:6" x14ac:dyDescent="0.3">
      <c r="A15" s="13" t="s">
        <v>433</v>
      </c>
      <c r="B15" s="46" t="s">
        <v>451</v>
      </c>
      <c r="C15" s="46"/>
      <c r="D15" s="44"/>
      <c r="E15" s="44">
        <v>95800</v>
      </c>
      <c r="F15" s="44"/>
    </row>
    <row r="16" spans="1:6" x14ac:dyDescent="0.3">
      <c r="A16" s="13" t="s">
        <v>433</v>
      </c>
      <c r="B16" s="46" t="s">
        <v>452</v>
      </c>
      <c r="C16" s="46"/>
      <c r="D16" s="44"/>
      <c r="E16" s="44">
        <v>500</v>
      </c>
      <c r="F16" s="44"/>
    </row>
    <row r="17" spans="1:6" x14ac:dyDescent="0.3">
      <c r="A17" s="13" t="s">
        <v>433</v>
      </c>
      <c r="B17" s="46" t="s">
        <v>453</v>
      </c>
      <c r="C17" s="46"/>
      <c r="D17" s="44"/>
      <c r="E17" s="44">
        <v>13000</v>
      </c>
      <c r="F17" s="44"/>
    </row>
    <row r="18" spans="1:6" x14ac:dyDescent="0.3">
      <c r="A18" s="13" t="s">
        <v>433</v>
      </c>
      <c r="B18" s="46" t="s">
        <v>454</v>
      </c>
      <c r="C18" s="46"/>
      <c r="D18" s="44"/>
      <c r="E18" s="44">
        <v>2200</v>
      </c>
      <c r="F18" s="44"/>
    </row>
    <row r="19" spans="1:6" x14ac:dyDescent="0.3">
      <c r="A19" s="13" t="s">
        <v>433</v>
      </c>
      <c r="B19" s="46" t="s">
        <v>455</v>
      </c>
      <c r="C19" s="46"/>
      <c r="D19" s="44"/>
      <c r="E19" s="44">
        <v>4000</v>
      </c>
      <c r="F19" s="44"/>
    </row>
    <row r="20" spans="1:6" x14ac:dyDescent="0.3">
      <c r="A20" s="13" t="s">
        <v>433</v>
      </c>
      <c r="B20" s="46" t="s">
        <v>456</v>
      </c>
      <c r="C20" s="46"/>
      <c r="D20" s="44"/>
      <c r="E20" s="44"/>
      <c r="F20" s="44"/>
    </row>
    <row r="21" spans="1:6" x14ac:dyDescent="0.3">
      <c r="A21" s="13" t="s">
        <v>433</v>
      </c>
      <c r="B21" s="46" t="s">
        <v>416</v>
      </c>
      <c r="C21" s="46"/>
      <c r="D21" s="44"/>
      <c r="E21" s="44"/>
      <c r="F21" s="44"/>
    </row>
    <row r="22" spans="1:6" x14ac:dyDescent="0.3">
      <c r="A22" s="13"/>
      <c r="B22" s="46" t="s">
        <v>457</v>
      </c>
      <c r="C22" s="46"/>
      <c r="D22" s="44"/>
      <c r="E22" s="44"/>
      <c r="F22" s="44"/>
    </row>
    <row r="23" spans="1:6" x14ac:dyDescent="0.3">
      <c r="A23" s="13"/>
      <c r="B23" s="46"/>
      <c r="C23" s="46"/>
      <c r="D23" s="44"/>
      <c r="E23" s="44"/>
      <c r="F23" s="44"/>
    </row>
    <row r="24" spans="1:6" x14ac:dyDescent="0.3">
      <c r="A24" s="13"/>
      <c r="B24" s="46"/>
      <c r="C24" s="46"/>
      <c r="D24" s="44"/>
      <c r="E24" s="44"/>
      <c r="F24" s="44"/>
    </row>
    <row r="25" spans="1:6" x14ac:dyDescent="0.3">
      <c r="A25" s="13"/>
      <c r="B25" s="46"/>
      <c r="C25" s="46"/>
      <c r="D25" s="44"/>
      <c r="E25" s="44"/>
      <c r="F25" s="44"/>
    </row>
    <row r="26" spans="1:6" x14ac:dyDescent="0.3">
      <c r="A26" s="13"/>
      <c r="B26" s="46"/>
      <c r="C26" s="46"/>
      <c r="D26" s="44"/>
      <c r="E26" s="44"/>
      <c r="F26" s="44"/>
    </row>
    <row r="27" spans="1:6" x14ac:dyDescent="0.3">
      <c r="A27" s="13"/>
      <c r="B27" s="46"/>
      <c r="C27" s="46"/>
      <c r="D27" s="44"/>
      <c r="E27" s="44"/>
      <c r="F27" s="44"/>
    </row>
    <row r="28" spans="1:6" x14ac:dyDescent="0.3">
      <c r="A28" s="13"/>
      <c r="B28" s="46"/>
      <c r="C28" s="46"/>
      <c r="D28" s="44"/>
      <c r="E28" s="44"/>
      <c r="F28" s="44"/>
    </row>
    <row r="29" spans="1:6" x14ac:dyDescent="0.3">
      <c r="A29" s="13"/>
      <c r="B29" s="46"/>
      <c r="C29" s="46"/>
      <c r="D29" s="44"/>
      <c r="E29" s="44"/>
      <c r="F29" s="44"/>
    </row>
    <row r="30" spans="1:6" x14ac:dyDescent="0.3">
      <c r="A30" s="13"/>
      <c r="B30" s="46"/>
      <c r="C30" s="46"/>
      <c r="D30" s="44"/>
      <c r="E30" s="44"/>
      <c r="F30" s="44"/>
    </row>
    <row r="31" spans="1:6" x14ac:dyDescent="0.3">
      <c r="A31" s="13"/>
      <c r="B31" s="46"/>
      <c r="C31" s="46"/>
      <c r="D31" s="44"/>
      <c r="E31" s="44"/>
      <c r="F31" s="44"/>
    </row>
    <row r="32" spans="1:6" x14ac:dyDescent="0.3">
      <c r="A32" s="13"/>
      <c r="B32" s="46"/>
      <c r="C32" s="46"/>
      <c r="D32" s="44"/>
      <c r="E32" s="44"/>
      <c r="F32" s="44"/>
    </row>
    <row r="33" spans="1:6" x14ac:dyDescent="0.3">
      <c r="A33" s="13"/>
      <c r="B33" s="46"/>
      <c r="C33" s="46"/>
      <c r="D33" s="44"/>
      <c r="E33" s="44"/>
      <c r="F33" s="44"/>
    </row>
    <row r="34" spans="1:6" x14ac:dyDescent="0.3">
      <c r="A34" s="13"/>
      <c r="B34" s="46"/>
      <c r="C34" s="46"/>
      <c r="D34" s="44"/>
      <c r="E34" s="44"/>
      <c r="F34" s="44"/>
    </row>
    <row r="35" spans="1:6" x14ac:dyDescent="0.3">
      <c r="A35" s="13"/>
      <c r="B35" s="46"/>
      <c r="C35" s="46"/>
      <c r="D35" s="44"/>
      <c r="E35" s="44"/>
      <c r="F35" s="44"/>
    </row>
    <row r="36" spans="1:6" x14ac:dyDescent="0.3">
      <c r="A36" s="13"/>
      <c r="B36" s="46"/>
      <c r="C36" s="46"/>
      <c r="D36" s="44"/>
      <c r="E36" s="44"/>
      <c r="F36" s="44"/>
    </row>
    <row r="37" spans="1:6" x14ac:dyDescent="0.3">
      <c r="A37" s="47"/>
      <c r="B37" s="43"/>
      <c r="C37" s="43"/>
      <c r="D37" s="42"/>
      <c r="E37" s="42"/>
      <c r="F37" s="42"/>
    </row>
    <row r="38" spans="1:6" x14ac:dyDescent="0.3">
      <c r="A38" s="47"/>
      <c r="B38" s="43"/>
      <c r="C38" s="43"/>
      <c r="D38" s="42"/>
      <c r="E38" s="42"/>
      <c r="F38" s="42"/>
    </row>
    <row r="39" spans="1:6" x14ac:dyDescent="0.3">
      <c r="A39" s="47"/>
      <c r="B39" s="43"/>
      <c r="C39" s="43"/>
      <c r="D39" s="42"/>
      <c r="E39" s="42">
        <f>SUM(E2:E38)</f>
        <v>978400</v>
      </c>
      <c r="F39" s="42"/>
    </row>
    <row r="40" spans="1:6" x14ac:dyDescent="0.3">
      <c r="A40" s="47"/>
      <c r="B40" s="43"/>
      <c r="C40" s="43"/>
      <c r="D40" s="42"/>
      <c r="E40" s="42"/>
      <c r="F40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8"/>
  <sheetViews>
    <sheetView topLeftCell="A15" workbookViewId="0">
      <selection activeCell="C34" sqref="C34"/>
    </sheetView>
  </sheetViews>
  <sheetFormatPr defaultRowHeight="14.4" x14ac:dyDescent="0.3"/>
  <cols>
    <col min="1" max="1" width="9.6640625" bestFit="1" customWidth="1"/>
    <col min="2" max="2" width="37" style="4" customWidth="1"/>
    <col min="3" max="3" width="29.88671875" style="4" customWidth="1"/>
    <col min="4" max="4" width="12.5546875" customWidth="1"/>
  </cols>
  <sheetData>
    <row r="1" spans="1:5" x14ac:dyDescent="0.3">
      <c r="A1" s="3"/>
      <c r="B1" s="35"/>
      <c r="C1" s="35"/>
      <c r="D1" s="36"/>
      <c r="E1" s="36"/>
    </row>
    <row r="2" spans="1:5" x14ac:dyDescent="0.3">
      <c r="A2" s="3"/>
      <c r="B2" s="35"/>
      <c r="C2" s="35"/>
      <c r="D2" s="36"/>
      <c r="E2" s="36"/>
    </row>
    <row r="3" spans="1:5" x14ac:dyDescent="0.3">
      <c r="A3" s="3"/>
      <c r="B3" s="35"/>
      <c r="C3" s="35"/>
      <c r="D3" s="36"/>
      <c r="E3" s="36"/>
    </row>
    <row r="4" spans="1:5" x14ac:dyDescent="0.3">
      <c r="A4" s="3"/>
      <c r="B4" s="35"/>
      <c r="C4" s="35"/>
      <c r="D4" s="36"/>
      <c r="E4" s="36"/>
    </row>
    <row r="5" spans="1:5" x14ac:dyDescent="0.3">
      <c r="A5" s="3"/>
      <c r="B5" s="35"/>
      <c r="C5" s="35"/>
      <c r="D5" s="36"/>
      <c r="E5" s="36"/>
    </row>
    <row r="6" spans="1:5" x14ac:dyDescent="0.3">
      <c r="A6" s="3"/>
      <c r="B6" s="35"/>
      <c r="C6" s="35"/>
      <c r="D6" s="36"/>
      <c r="E6" s="36"/>
    </row>
    <row r="7" spans="1:5" x14ac:dyDescent="0.3">
      <c r="A7" s="3"/>
    </row>
    <row r="8" spans="1:5" x14ac:dyDescent="0.3">
      <c r="A8" s="3"/>
    </row>
    <row r="10" spans="1:5" x14ac:dyDescent="0.3">
      <c r="A10" s="3"/>
    </row>
    <row r="11" spans="1:5" x14ac:dyDescent="0.3">
      <c r="A11" s="3"/>
    </row>
    <row r="12" spans="1:5" x14ac:dyDescent="0.3">
      <c r="A12" s="3"/>
    </row>
    <row r="13" spans="1:5" x14ac:dyDescent="0.3">
      <c r="A13" s="3"/>
    </row>
    <row r="14" spans="1:5" x14ac:dyDescent="0.3">
      <c r="A14" s="3"/>
    </row>
    <row r="15" spans="1:5" x14ac:dyDescent="0.3">
      <c r="A15" s="3"/>
    </row>
    <row r="16" spans="1:5" x14ac:dyDescent="0.3">
      <c r="A16" s="3"/>
    </row>
    <row r="17" spans="1:5" x14ac:dyDescent="0.3">
      <c r="A17" s="3"/>
    </row>
    <row r="18" spans="1:5" x14ac:dyDescent="0.3">
      <c r="A18" s="3"/>
      <c r="B18" s="35"/>
      <c r="C18" s="35"/>
      <c r="D18" s="36"/>
      <c r="E18" s="36"/>
    </row>
    <row r="19" spans="1:5" x14ac:dyDescent="0.3">
      <c r="A19" s="3"/>
      <c r="B19" s="35"/>
      <c r="C19" s="35"/>
      <c r="D19" s="36"/>
      <c r="E19" s="36"/>
    </row>
    <row r="20" spans="1:5" x14ac:dyDescent="0.3">
      <c r="A20" s="3"/>
    </row>
    <row r="21" spans="1:5" x14ac:dyDescent="0.3">
      <c r="A21" s="3"/>
      <c r="B21" s="35"/>
      <c r="C21" s="35"/>
      <c r="D21" s="36"/>
      <c r="E21" s="36"/>
    </row>
    <row r="22" spans="1:5" x14ac:dyDescent="0.3">
      <c r="A22" s="3"/>
      <c r="B22" s="35"/>
      <c r="C22" s="35"/>
      <c r="D22" s="36"/>
      <c r="E22" s="36"/>
    </row>
    <row r="23" spans="1:5" x14ac:dyDescent="0.3">
      <c r="A23" s="3"/>
    </row>
    <row r="24" spans="1:5" x14ac:dyDescent="0.3">
      <c r="A24" s="3"/>
    </row>
    <row r="25" spans="1:5" x14ac:dyDescent="0.3">
      <c r="A25" s="3"/>
    </row>
    <row r="26" spans="1:5" x14ac:dyDescent="0.3">
      <c r="A26" s="3"/>
    </row>
    <row r="27" spans="1:5" x14ac:dyDescent="0.3">
      <c r="A27" s="3"/>
    </row>
    <row r="28" spans="1:5" x14ac:dyDescent="0.3">
      <c r="A28" s="3"/>
    </row>
  </sheetData>
  <sortState xmlns:xlrd2="http://schemas.microsoft.com/office/spreadsheetml/2017/richdata2" ref="A1:E24">
    <sortCondition ref="B1:B2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I26"/>
  <sheetViews>
    <sheetView zoomScale="85" zoomScaleNormal="85" workbookViewId="0">
      <selection activeCell="B13" sqref="B13"/>
    </sheetView>
  </sheetViews>
  <sheetFormatPr defaultRowHeight="14.4" x14ac:dyDescent="0.3"/>
  <cols>
    <col min="1" max="1" width="30.33203125" customWidth="1"/>
    <col min="2" max="2" width="11.6640625" style="5" customWidth="1"/>
    <col min="3" max="3" width="13.6640625" style="5" customWidth="1"/>
    <col min="5" max="7" width="13.33203125" bestFit="1" customWidth="1"/>
    <col min="9" max="9" width="13.33203125" bestFit="1" customWidth="1"/>
  </cols>
  <sheetData>
    <row r="2" spans="1:9" ht="18" x14ac:dyDescent="0.35">
      <c r="A2" s="10" t="s">
        <v>459</v>
      </c>
    </row>
    <row r="3" spans="1:9" x14ac:dyDescent="0.3">
      <c r="B3" s="5" t="s">
        <v>160</v>
      </c>
      <c r="C3" s="5" t="s">
        <v>160</v>
      </c>
    </row>
    <row r="4" spans="1:9" x14ac:dyDescent="0.3">
      <c r="A4" t="s">
        <v>189</v>
      </c>
      <c r="C4" s="5">
        <f>REVENUE!M35</f>
        <v>2905200</v>
      </c>
    </row>
    <row r="5" spans="1:9" x14ac:dyDescent="0.3">
      <c r="A5" t="s">
        <v>460</v>
      </c>
      <c r="B5" s="5">
        <v>2097000</v>
      </c>
      <c r="C5" s="9"/>
    </row>
    <row r="6" spans="1:9" x14ac:dyDescent="0.3">
      <c r="A6" t="s">
        <v>192</v>
      </c>
      <c r="B6" s="5">
        <f>MEDICATIONS!E18</f>
        <v>773600</v>
      </c>
    </row>
    <row r="7" spans="1:9" x14ac:dyDescent="0.3">
      <c r="A7" t="s">
        <v>161</v>
      </c>
      <c r="B7" s="5">
        <f>MEDICATIONS!E24</f>
        <v>4000</v>
      </c>
      <c r="F7" s="5"/>
      <c r="G7" s="5"/>
    </row>
    <row r="8" spans="1:9" x14ac:dyDescent="0.3">
      <c r="A8" t="s">
        <v>461</v>
      </c>
      <c r="B8" s="5">
        <v>1711030</v>
      </c>
      <c r="E8" s="5"/>
      <c r="F8" s="50"/>
      <c r="G8" s="5"/>
    </row>
    <row r="9" spans="1:9" ht="15" thickBot="1" x14ac:dyDescent="0.35">
      <c r="A9" t="s">
        <v>162</v>
      </c>
      <c r="C9" s="5">
        <f>B5+B6+B7-B8</f>
        <v>1163570</v>
      </c>
      <c r="E9" s="50"/>
      <c r="F9" s="50"/>
      <c r="I9" s="50"/>
    </row>
    <row r="10" spans="1:9" ht="15" thickBot="1" x14ac:dyDescent="0.35">
      <c r="A10" s="6" t="s">
        <v>163</v>
      </c>
      <c r="B10" s="7"/>
      <c r="C10" s="8">
        <f>C4-C9</f>
        <v>1741630</v>
      </c>
      <c r="F10" s="5"/>
      <c r="I10" s="17"/>
    </row>
    <row r="11" spans="1:9" x14ac:dyDescent="0.3">
      <c r="A11" s="2" t="s">
        <v>164</v>
      </c>
      <c r="F11" s="50"/>
      <c r="G11" s="5"/>
    </row>
    <row r="12" spans="1:9" x14ac:dyDescent="0.3">
      <c r="A12" t="s">
        <v>165</v>
      </c>
      <c r="B12" s="5">
        <f>170000+1225000</f>
        <v>1395000</v>
      </c>
    </row>
    <row r="13" spans="1:9" x14ac:dyDescent="0.3">
      <c r="A13" t="s">
        <v>213</v>
      </c>
      <c r="B13" s="5">
        <f>'MAINTENANCE-OFFICE SUPPLIES'!E21</f>
        <v>144800</v>
      </c>
      <c r="F13" s="39"/>
    </row>
    <row r="14" spans="1:9" x14ac:dyDescent="0.3">
      <c r="A14" t="s">
        <v>166</v>
      </c>
      <c r="B14" s="5">
        <f>'MAINTENANCE-OFFICE SUPPLIES'!E30</f>
        <v>56000</v>
      </c>
      <c r="F14" s="50"/>
    </row>
    <row r="15" spans="1:9" x14ac:dyDescent="0.3">
      <c r="A15" t="s">
        <v>287</v>
      </c>
      <c r="E15" s="5"/>
      <c r="F15" s="50"/>
      <c r="G15" s="50"/>
    </row>
    <row r="16" spans="1:9" ht="15" thickBot="1" x14ac:dyDescent="0.35">
      <c r="A16" t="s">
        <v>167</v>
      </c>
      <c r="C16" s="5">
        <f>B12+B13+B14+B15+B16</f>
        <v>1595800</v>
      </c>
      <c r="G16" s="50"/>
    </row>
    <row r="17" spans="1:7" ht="15" thickBot="1" x14ac:dyDescent="0.35">
      <c r="A17" s="6" t="s">
        <v>168</v>
      </c>
      <c r="B17" s="7"/>
      <c r="C17" s="8">
        <f>C10-C16</f>
        <v>145830</v>
      </c>
      <c r="F17" s="50"/>
      <c r="G17" s="50"/>
    </row>
    <row r="18" spans="1:7" x14ac:dyDescent="0.3">
      <c r="G18" s="50"/>
    </row>
    <row r="19" spans="1:7" x14ac:dyDescent="0.3">
      <c r="G19" s="5"/>
    </row>
    <row r="20" spans="1:7" x14ac:dyDescent="0.3">
      <c r="F20" s="50"/>
      <c r="G20" s="50"/>
    </row>
    <row r="21" spans="1:7" x14ac:dyDescent="0.3">
      <c r="A21" t="s">
        <v>214</v>
      </c>
      <c r="C21" s="5">
        <v>97000</v>
      </c>
    </row>
    <row r="22" spans="1:7" x14ac:dyDescent="0.3">
      <c r="A22" t="s">
        <v>215</v>
      </c>
    </row>
    <row r="23" spans="1:7" x14ac:dyDescent="0.3">
      <c r="A23" t="s">
        <v>349</v>
      </c>
      <c r="G23" s="5"/>
    </row>
    <row r="24" spans="1:7" x14ac:dyDescent="0.3">
      <c r="A24" s="17" t="s">
        <v>350</v>
      </c>
      <c r="C24" s="5">
        <v>94000</v>
      </c>
    </row>
    <row r="25" spans="1:7" x14ac:dyDescent="0.3">
      <c r="A25" s="17"/>
      <c r="C25" s="5">
        <f>C21+C22+C23+C24</f>
        <v>191000</v>
      </c>
    </row>
    <row r="26" spans="1:7" x14ac:dyDescent="0.3">
      <c r="A26" t="s">
        <v>415</v>
      </c>
      <c r="C26" s="5">
        <f>C17+C25</f>
        <v>336830</v>
      </c>
    </row>
  </sheetData>
  <pageMargins left="0.7" right="0.7" top="0.75" bottom="0.75" header="0.3" footer="0.3"/>
  <pageSetup orientation="portrait" horizontalDpi="4294967295" verticalDpi="4294967295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34"/>
  <sheetViews>
    <sheetView topLeftCell="A311" workbookViewId="0">
      <selection activeCell="F311" sqref="F1:F1048576"/>
    </sheetView>
  </sheetViews>
  <sheetFormatPr defaultColWidth="8.6640625" defaultRowHeight="13.8" x14ac:dyDescent="0.3"/>
  <cols>
    <col min="1" max="1" width="29.5546875" style="17" customWidth="1"/>
    <col min="2" max="2" width="7.44140625" style="17" customWidth="1"/>
    <col min="3" max="3" width="6.44140625" style="17" customWidth="1"/>
    <col min="4" max="4" width="6.33203125" style="17" customWidth="1"/>
    <col min="5" max="5" width="5.44140625" style="17" customWidth="1"/>
    <col min="6" max="6" width="7.44140625" style="17" customWidth="1"/>
    <col min="7" max="7" width="8" style="17" customWidth="1"/>
    <col min="8" max="8" width="10.44140625" style="18" customWidth="1"/>
    <col min="9" max="9" width="13.6640625" style="17" customWidth="1"/>
    <col min="10" max="16384" width="8.6640625" style="17"/>
  </cols>
  <sheetData>
    <row r="1" spans="1:9" x14ac:dyDescent="0.3">
      <c r="A1" s="19" t="s">
        <v>352</v>
      </c>
      <c r="B1" s="19"/>
      <c r="C1" s="48"/>
      <c r="D1" s="19"/>
      <c r="E1" s="19"/>
      <c r="F1" s="19"/>
      <c r="G1" s="19"/>
      <c r="H1" s="20"/>
      <c r="I1" s="19"/>
    </row>
    <row r="2" spans="1:9" x14ac:dyDescent="0.3">
      <c r="A2" s="21" t="s">
        <v>351</v>
      </c>
      <c r="B2" s="21"/>
      <c r="C2" s="49"/>
      <c r="D2" s="21"/>
      <c r="E2" s="21"/>
      <c r="F2" s="21"/>
      <c r="G2" s="21"/>
      <c r="H2" s="22"/>
      <c r="I2" s="23"/>
    </row>
    <row r="3" spans="1:9" ht="50.4" x14ac:dyDescent="0.3">
      <c r="A3" s="24"/>
      <c r="B3" s="25"/>
      <c r="C3" s="25"/>
      <c r="D3" s="25"/>
      <c r="E3" s="25"/>
      <c r="F3" s="25"/>
      <c r="G3" s="25" t="s">
        <v>0</v>
      </c>
      <c r="H3" s="26" t="s">
        <v>1</v>
      </c>
      <c r="I3" s="27" t="s">
        <v>2</v>
      </c>
    </row>
    <row r="4" spans="1:9" x14ac:dyDescent="0.3">
      <c r="A4" s="24" t="s">
        <v>4</v>
      </c>
      <c r="B4" s="25"/>
      <c r="C4" s="25"/>
      <c r="D4" s="25"/>
      <c r="E4" s="25"/>
      <c r="F4" s="25"/>
      <c r="G4" s="25"/>
      <c r="H4" s="26"/>
      <c r="I4" s="27"/>
    </row>
    <row r="5" spans="1:9" x14ac:dyDescent="0.3">
      <c r="A5" s="28" t="s">
        <v>333</v>
      </c>
      <c r="B5" s="29"/>
      <c r="C5" s="25"/>
      <c r="D5" s="29">
        <f>B5+C5</f>
        <v>0</v>
      </c>
      <c r="E5" s="25"/>
      <c r="F5" s="29"/>
      <c r="G5" s="29">
        <f>D5-E5-F5</f>
        <v>0</v>
      </c>
      <c r="H5" s="29">
        <v>20</v>
      </c>
      <c r="I5" s="19">
        <f>G5*H5</f>
        <v>0</v>
      </c>
    </row>
    <row r="6" spans="1:9" x14ac:dyDescent="0.3">
      <c r="A6" s="28" t="s">
        <v>5</v>
      </c>
      <c r="B6" s="29">
        <v>2800</v>
      </c>
      <c r="C6" s="28"/>
      <c r="D6" s="29">
        <f>B6+C6</f>
        <v>2800</v>
      </c>
      <c r="E6" s="28"/>
      <c r="F6" s="29">
        <v>2000</v>
      </c>
      <c r="G6" s="29">
        <f>D6-E6-F6</f>
        <v>800</v>
      </c>
      <c r="H6" s="30">
        <v>20</v>
      </c>
      <c r="I6" s="19">
        <f>G6*H6</f>
        <v>16000</v>
      </c>
    </row>
    <row r="7" spans="1:9" x14ac:dyDescent="0.3">
      <c r="A7" s="28" t="s">
        <v>312</v>
      </c>
      <c r="B7" s="28">
        <v>3000</v>
      </c>
      <c r="C7" s="28"/>
      <c r="D7" s="29">
        <f t="shared" ref="D7:D81" si="0">B7+C7</f>
        <v>3000</v>
      </c>
      <c r="E7" s="28"/>
      <c r="F7" s="28">
        <v>2000</v>
      </c>
      <c r="G7" s="29">
        <f t="shared" ref="G7:G115" si="1">D7-E7-F7</f>
        <v>1000</v>
      </c>
      <c r="H7" s="30">
        <v>20</v>
      </c>
      <c r="I7" s="19">
        <f t="shared" ref="I7:I116" si="2">G7*H7</f>
        <v>20000</v>
      </c>
    </row>
    <row r="8" spans="1:9" x14ac:dyDescent="0.3">
      <c r="A8" s="28" t="s">
        <v>305</v>
      </c>
      <c r="B8" s="28">
        <v>300</v>
      </c>
      <c r="C8" s="28"/>
      <c r="D8" s="29">
        <f t="shared" si="0"/>
        <v>300</v>
      </c>
      <c r="E8" s="28"/>
      <c r="F8" s="28">
        <v>300</v>
      </c>
      <c r="G8" s="29">
        <f t="shared" si="1"/>
        <v>0</v>
      </c>
      <c r="H8" s="30">
        <v>20</v>
      </c>
      <c r="I8" s="19">
        <f t="shared" si="2"/>
        <v>0</v>
      </c>
    </row>
    <row r="9" spans="1:9" x14ac:dyDescent="0.3">
      <c r="A9" s="28" t="s">
        <v>6</v>
      </c>
      <c r="B9" s="28"/>
      <c r="C9" s="28"/>
      <c r="D9" s="29">
        <f t="shared" si="0"/>
        <v>0</v>
      </c>
      <c r="E9" s="28"/>
      <c r="F9" s="28"/>
      <c r="G9" s="29">
        <f t="shared" si="1"/>
        <v>0</v>
      </c>
      <c r="H9" s="30">
        <v>20</v>
      </c>
      <c r="I9" s="19">
        <f t="shared" si="2"/>
        <v>0</v>
      </c>
    </row>
    <row r="10" spans="1:9" x14ac:dyDescent="0.3">
      <c r="A10" s="28" t="s">
        <v>7</v>
      </c>
      <c r="B10" s="28"/>
      <c r="C10" s="28"/>
      <c r="D10" s="29">
        <f t="shared" si="0"/>
        <v>0</v>
      </c>
      <c r="E10" s="28"/>
      <c r="F10" s="28"/>
      <c r="G10" s="29">
        <f t="shared" si="1"/>
        <v>0</v>
      </c>
      <c r="H10" s="30">
        <v>1</v>
      </c>
      <c r="I10" s="19">
        <f t="shared" si="2"/>
        <v>0</v>
      </c>
    </row>
    <row r="11" spans="1:9" x14ac:dyDescent="0.3">
      <c r="A11" s="28" t="s">
        <v>92</v>
      </c>
      <c r="B11" s="28">
        <v>1500</v>
      </c>
      <c r="C11" s="28"/>
      <c r="D11" s="29">
        <f t="shared" si="0"/>
        <v>1500</v>
      </c>
      <c r="E11" s="28"/>
      <c r="F11" s="28">
        <v>1500</v>
      </c>
      <c r="G11" s="29">
        <f t="shared" si="1"/>
        <v>0</v>
      </c>
      <c r="H11" s="30">
        <v>250</v>
      </c>
      <c r="I11" s="19">
        <f t="shared" si="2"/>
        <v>0</v>
      </c>
    </row>
    <row r="12" spans="1:9" x14ac:dyDescent="0.3">
      <c r="A12" s="28" t="s">
        <v>181</v>
      </c>
      <c r="B12" s="28"/>
      <c r="C12" s="28"/>
      <c r="D12" s="29">
        <f t="shared" si="0"/>
        <v>0</v>
      </c>
      <c r="E12" s="28"/>
      <c r="F12" s="28"/>
      <c r="G12" s="29">
        <f t="shared" si="1"/>
        <v>0</v>
      </c>
      <c r="H12" s="30">
        <v>10</v>
      </c>
      <c r="I12" s="19">
        <f t="shared" si="2"/>
        <v>0</v>
      </c>
    </row>
    <row r="13" spans="1:9" x14ac:dyDescent="0.3">
      <c r="A13" s="28" t="s">
        <v>276</v>
      </c>
      <c r="B13" s="28">
        <v>400</v>
      </c>
      <c r="C13" s="28"/>
      <c r="D13" s="29">
        <f t="shared" si="0"/>
        <v>400</v>
      </c>
      <c r="E13" s="28"/>
      <c r="F13" s="28">
        <v>400</v>
      </c>
      <c r="G13" s="29">
        <f t="shared" si="1"/>
        <v>0</v>
      </c>
      <c r="H13" s="30">
        <v>70</v>
      </c>
      <c r="I13" s="19">
        <f t="shared" si="2"/>
        <v>0</v>
      </c>
    </row>
    <row r="14" spans="1:9" x14ac:dyDescent="0.3">
      <c r="A14" s="28" t="s">
        <v>207</v>
      </c>
      <c r="B14" s="28"/>
      <c r="C14" s="28"/>
      <c r="D14" s="29">
        <f t="shared" si="0"/>
        <v>0</v>
      </c>
      <c r="E14" s="28"/>
      <c r="F14" s="28"/>
      <c r="G14" s="29">
        <f t="shared" si="1"/>
        <v>0</v>
      </c>
      <c r="H14" s="30">
        <v>800</v>
      </c>
      <c r="I14" s="19">
        <f t="shared" si="2"/>
        <v>0</v>
      </c>
    </row>
    <row r="15" spans="1:9" x14ac:dyDescent="0.3">
      <c r="A15" s="28" t="s">
        <v>179</v>
      </c>
      <c r="B15" s="28"/>
      <c r="C15" s="28">
        <v>250</v>
      </c>
      <c r="D15" s="29">
        <f t="shared" si="0"/>
        <v>250</v>
      </c>
      <c r="E15" s="28"/>
      <c r="F15" s="28">
        <v>200</v>
      </c>
      <c r="G15" s="29">
        <f t="shared" si="1"/>
        <v>50</v>
      </c>
      <c r="H15" s="30">
        <v>40</v>
      </c>
      <c r="I15" s="19">
        <f t="shared" si="2"/>
        <v>2000</v>
      </c>
    </row>
    <row r="16" spans="1:9" x14ac:dyDescent="0.3">
      <c r="A16" s="28" t="s">
        <v>306</v>
      </c>
      <c r="B16" s="28"/>
      <c r="C16" s="28"/>
      <c r="D16" s="29">
        <f t="shared" si="0"/>
        <v>0</v>
      </c>
      <c r="E16" s="28"/>
      <c r="F16" s="28"/>
      <c r="G16" s="29">
        <f t="shared" si="1"/>
        <v>0</v>
      </c>
      <c r="H16" s="30">
        <v>5</v>
      </c>
      <c r="I16" s="19">
        <f t="shared" si="2"/>
        <v>0</v>
      </c>
    </row>
    <row r="17" spans="1:9" x14ac:dyDescent="0.3">
      <c r="A17" s="28" t="s">
        <v>280</v>
      </c>
      <c r="B17" s="28"/>
      <c r="C17" s="28"/>
      <c r="D17" s="29">
        <f t="shared" si="0"/>
        <v>0</v>
      </c>
      <c r="E17" s="28"/>
      <c r="F17" s="28"/>
      <c r="G17" s="29">
        <f t="shared" si="1"/>
        <v>0</v>
      </c>
      <c r="H17" s="30">
        <v>900</v>
      </c>
      <c r="I17" s="19">
        <f t="shared" si="2"/>
        <v>0</v>
      </c>
    </row>
    <row r="18" spans="1:9" x14ac:dyDescent="0.3">
      <c r="A18" s="28" t="s">
        <v>325</v>
      </c>
      <c r="B18" s="28"/>
      <c r="C18" s="28"/>
      <c r="D18" s="29">
        <f t="shared" si="0"/>
        <v>0</v>
      </c>
      <c r="E18" s="28"/>
      <c r="F18" s="28"/>
      <c r="G18" s="29">
        <f t="shared" si="1"/>
        <v>0</v>
      </c>
      <c r="H18" s="30">
        <v>420</v>
      </c>
      <c r="I18" s="19">
        <f t="shared" si="2"/>
        <v>0</v>
      </c>
    </row>
    <row r="19" spans="1:9" x14ac:dyDescent="0.3">
      <c r="A19" s="28" t="s">
        <v>343</v>
      </c>
      <c r="B19" s="28"/>
      <c r="C19" s="28"/>
      <c r="D19" s="29">
        <f t="shared" si="0"/>
        <v>0</v>
      </c>
      <c r="E19" s="28"/>
      <c r="F19" s="28"/>
      <c r="G19" s="29">
        <f t="shared" si="1"/>
        <v>0</v>
      </c>
      <c r="H19" s="30">
        <v>1300</v>
      </c>
      <c r="I19" s="19">
        <f t="shared" si="2"/>
        <v>0</v>
      </c>
    </row>
    <row r="20" spans="1:9" x14ac:dyDescent="0.3">
      <c r="A20" s="28"/>
      <c r="B20" s="28"/>
      <c r="C20" s="28"/>
      <c r="D20" s="29">
        <f t="shared" si="0"/>
        <v>0</v>
      </c>
      <c r="E20" s="28"/>
      <c r="F20" s="28"/>
      <c r="G20" s="29">
        <f t="shared" si="1"/>
        <v>0</v>
      </c>
      <c r="H20" s="30"/>
      <c r="I20" s="19">
        <f t="shared" si="2"/>
        <v>0</v>
      </c>
    </row>
    <row r="21" spans="1:9" x14ac:dyDescent="0.3">
      <c r="A21" s="24" t="s">
        <v>130</v>
      </c>
      <c r="B21" s="28"/>
      <c r="C21" s="28"/>
      <c r="D21" s="29">
        <f t="shared" si="0"/>
        <v>0</v>
      </c>
      <c r="E21" s="28"/>
      <c r="F21" s="28"/>
      <c r="G21" s="29">
        <f t="shared" si="1"/>
        <v>0</v>
      </c>
      <c r="H21" s="30"/>
      <c r="I21" s="19">
        <f t="shared" si="2"/>
        <v>0</v>
      </c>
    </row>
    <row r="22" spans="1:9" x14ac:dyDescent="0.3">
      <c r="A22" s="28" t="s">
        <v>310</v>
      </c>
      <c r="B22" s="28">
        <v>50</v>
      </c>
      <c r="C22" s="28"/>
      <c r="D22" s="29">
        <f t="shared" si="0"/>
        <v>50</v>
      </c>
      <c r="E22" s="28"/>
      <c r="F22" s="28"/>
      <c r="G22" s="29">
        <f t="shared" si="1"/>
        <v>50</v>
      </c>
      <c r="H22" s="30">
        <v>6</v>
      </c>
      <c r="I22" s="19">
        <f t="shared" si="2"/>
        <v>300</v>
      </c>
    </row>
    <row r="23" spans="1:9" x14ac:dyDescent="0.3">
      <c r="A23" s="28" t="s">
        <v>311</v>
      </c>
      <c r="B23" s="28">
        <v>400</v>
      </c>
      <c r="C23" s="28"/>
      <c r="D23" s="29">
        <f>B23+C23</f>
        <v>400</v>
      </c>
      <c r="E23" s="28"/>
      <c r="F23" s="28"/>
      <c r="G23" s="29">
        <f>D23-E23-F23</f>
        <v>400</v>
      </c>
      <c r="H23" s="30">
        <v>10</v>
      </c>
      <c r="I23" s="19">
        <f t="shared" si="2"/>
        <v>4000</v>
      </c>
    </row>
    <row r="24" spans="1:9" x14ac:dyDescent="0.3">
      <c r="A24" s="28" t="s">
        <v>141</v>
      </c>
      <c r="B24" s="28"/>
      <c r="C24" s="28"/>
      <c r="D24" s="29">
        <f t="shared" si="0"/>
        <v>0</v>
      </c>
      <c r="E24" s="28"/>
      <c r="F24" s="28"/>
      <c r="G24" s="29">
        <f t="shared" si="1"/>
        <v>0</v>
      </c>
      <c r="H24" s="30">
        <v>5</v>
      </c>
      <c r="I24" s="19">
        <f>G24*H24</f>
        <v>0</v>
      </c>
    </row>
    <row r="25" spans="1:9" x14ac:dyDescent="0.3">
      <c r="A25" s="28" t="s">
        <v>330</v>
      </c>
      <c r="B25" s="28"/>
      <c r="C25" s="28"/>
      <c r="D25" s="29">
        <f t="shared" si="0"/>
        <v>0</v>
      </c>
      <c r="E25" s="28"/>
      <c r="F25" s="28"/>
      <c r="G25" s="29">
        <f t="shared" si="1"/>
        <v>0</v>
      </c>
      <c r="H25" s="30">
        <v>15</v>
      </c>
      <c r="I25" s="19">
        <f t="shared" si="2"/>
        <v>0</v>
      </c>
    </row>
    <row r="26" spans="1:9" x14ac:dyDescent="0.3">
      <c r="A26" s="28" t="s">
        <v>331</v>
      </c>
      <c r="B26" s="28"/>
      <c r="C26" s="28"/>
      <c r="D26" s="29">
        <f t="shared" si="0"/>
        <v>0</v>
      </c>
      <c r="E26" s="28"/>
      <c r="F26" s="28"/>
      <c r="G26" s="29">
        <f t="shared" si="1"/>
        <v>0</v>
      </c>
      <c r="H26" s="30">
        <v>25</v>
      </c>
      <c r="I26" s="19">
        <f t="shared" si="2"/>
        <v>0</v>
      </c>
    </row>
    <row r="27" spans="1:9" x14ac:dyDescent="0.3">
      <c r="A27" s="28"/>
      <c r="B27" s="28"/>
      <c r="C27" s="28"/>
      <c r="D27" s="29"/>
      <c r="E27" s="28"/>
      <c r="F27" s="28"/>
      <c r="G27" s="29"/>
      <c r="H27" s="30"/>
      <c r="I27" s="19"/>
    </row>
    <row r="28" spans="1:9" x14ac:dyDescent="0.3">
      <c r="A28" s="28"/>
      <c r="B28" s="28"/>
      <c r="C28" s="28"/>
      <c r="D28" s="29"/>
      <c r="E28" s="28"/>
      <c r="F28" s="28"/>
      <c r="G28" s="29"/>
      <c r="H28" s="30"/>
      <c r="I28" s="19"/>
    </row>
    <row r="29" spans="1:9" x14ac:dyDescent="0.3">
      <c r="A29" s="24" t="s">
        <v>8</v>
      </c>
      <c r="B29" s="28"/>
      <c r="C29" s="28"/>
      <c r="D29" s="29">
        <f t="shared" si="0"/>
        <v>0</v>
      </c>
      <c r="E29" s="28"/>
      <c r="F29" s="28"/>
      <c r="G29" s="29">
        <f t="shared" si="1"/>
        <v>0</v>
      </c>
      <c r="H29" s="30"/>
      <c r="I29" s="19">
        <f t="shared" si="2"/>
        <v>0</v>
      </c>
    </row>
    <row r="30" spans="1:9" x14ac:dyDescent="0.3">
      <c r="A30" s="28" t="s">
        <v>9</v>
      </c>
      <c r="B30" s="28"/>
      <c r="C30" s="28">
        <v>1</v>
      </c>
      <c r="D30" s="29">
        <f t="shared" si="0"/>
        <v>1</v>
      </c>
      <c r="E30" s="28"/>
      <c r="F30" s="28">
        <v>1</v>
      </c>
      <c r="G30" s="29">
        <f t="shared" si="1"/>
        <v>0</v>
      </c>
      <c r="H30" s="30">
        <v>6200</v>
      </c>
      <c r="I30" s="19">
        <f t="shared" si="2"/>
        <v>0</v>
      </c>
    </row>
    <row r="31" spans="1:9" x14ac:dyDescent="0.3">
      <c r="A31" s="28" t="s">
        <v>10</v>
      </c>
      <c r="B31" s="28">
        <v>30</v>
      </c>
      <c r="C31" s="28">
        <v>20</v>
      </c>
      <c r="D31" s="29">
        <f t="shared" si="0"/>
        <v>50</v>
      </c>
      <c r="E31" s="28"/>
      <c r="F31" s="28">
        <v>24</v>
      </c>
      <c r="G31" s="29">
        <f t="shared" si="1"/>
        <v>26</v>
      </c>
      <c r="H31" s="30">
        <v>900</v>
      </c>
      <c r="I31" s="19">
        <f t="shared" si="2"/>
        <v>23400</v>
      </c>
    </row>
    <row r="32" spans="1:9" x14ac:dyDescent="0.3">
      <c r="A32" s="28" t="s">
        <v>216</v>
      </c>
      <c r="B32" s="28">
        <v>400</v>
      </c>
      <c r="C32" s="28"/>
      <c r="D32" s="29">
        <f t="shared" si="0"/>
        <v>400</v>
      </c>
      <c r="E32" s="28"/>
      <c r="F32" s="28">
        <v>390</v>
      </c>
      <c r="G32" s="29">
        <f t="shared" si="1"/>
        <v>10</v>
      </c>
      <c r="H32" s="30">
        <v>20</v>
      </c>
      <c r="I32" s="19">
        <f t="shared" si="2"/>
        <v>200</v>
      </c>
    </row>
    <row r="33" spans="1:9" x14ac:dyDescent="0.3">
      <c r="A33" s="28"/>
      <c r="B33" s="28"/>
      <c r="C33" s="28"/>
      <c r="D33" s="29">
        <f t="shared" si="0"/>
        <v>0</v>
      </c>
      <c r="E33" s="28"/>
      <c r="F33" s="28"/>
      <c r="G33" s="29">
        <f t="shared" si="1"/>
        <v>0</v>
      </c>
      <c r="H33" s="30"/>
      <c r="I33" s="19">
        <f t="shared" si="2"/>
        <v>0</v>
      </c>
    </row>
    <row r="34" spans="1:9" x14ac:dyDescent="0.3">
      <c r="A34" s="24" t="s">
        <v>11</v>
      </c>
      <c r="B34" s="28"/>
      <c r="C34" s="28"/>
      <c r="D34" s="29">
        <f t="shared" si="0"/>
        <v>0</v>
      </c>
      <c r="E34" s="28"/>
      <c r="F34" s="28"/>
      <c r="G34" s="29">
        <f t="shared" si="1"/>
        <v>0</v>
      </c>
      <c r="H34" s="30"/>
      <c r="I34" s="19">
        <f t="shared" si="2"/>
        <v>0</v>
      </c>
    </row>
    <row r="35" spans="1:9" x14ac:dyDescent="0.3">
      <c r="A35" s="28" t="s">
        <v>12</v>
      </c>
      <c r="B35" s="28">
        <v>2500</v>
      </c>
      <c r="C35" s="28"/>
      <c r="D35" s="29">
        <f t="shared" si="0"/>
        <v>2500</v>
      </c>
      <c r="E35" s="28"/>
      <c r="F35" s="28">
        <v>2000</v>
      </c>
      <c r="G35" s="29">
        <f t="shared" si="1"/>
        <v>500</v>
      </c>
      <c r="H35" s="30">
        <v>1.5</v>
      </c>
      <c r="I35" s="19">
        <f t="shared" si="2"/>
        <v>750</v>
      </c>
    </row>
    <row r="36" spans="1:9" x14ac:dyDescent="0.3">
      <c r="A36" s="28" t="s">
        <v>13</v>
      </c>
      <c r="B36" s="28">
        <v>500</v>
      </c>
      <c r="C36" s="28">
        <v>1000</v>
      </c>
      <c r="D36" s="29">
        <f t="shared" si="0"/>
        <v>1500</v>
      </c>
      <c r="E36" s="28"/>
      <c r="F36" s="28">
        <v>1000</v>
      </c>
      <c r="G36" s="29">
        <f t="shared" si="1"/>
        <v>500</v>
      </c>
      <c r="H36" s="30">
        <v>1.5</v>
      </c>
      <c r="I36" s="19">
        <f t="shared" si="2"/>
        <v>750</v>
      </c>
    </row>
    <row r="37" spans="1:9" x14ac:dyDescent="0.3">
      <c r="A37" s="28" t="s">
        <v>14</v>
      </c>
      <c r="B37" s="28"/>
      <c r="C37" s="28"/>
      <c r="D37" s="29">
        <f t="shared" si="0"/>
        <v>0</v>
      </c>
      <c r="E37" s="28"/>
      <c r="F37" s="28"/>
      <c r="G37" s="29">
        <f t="shared" si="1"/>
        <v>0</v>
      </c>
      <c r="H37" s="30">
        <v>2.5</v>
      </c>
      <c r="I37" s="19">
        <f t="shared" si="2"/>
        <v>0</v>
      </c>
    </row>
    <row r="38" spans="1:9" x14ac:dyDescent="0.3">
      <c r="A38" s="28" t="s">
        <v>282</v>
      </c>
      <c r="B38" s="28">
        <v>50</v>
      </c>
      <c r="C38" s="28"/>
      <c r="D38" s="29">
        <f t="shared" si="0"/>
        <v>50</v>
      </c>
      <c r="E38" s="28"/>
      <c r="F38" s="28">
        <v>50</v>
      </c>
      <c r="G38" s="29">
        <f t="shared" si="1"/>
        <v>0</v>
      </c>
      <c r="H38" s="30">
        <v>30</v>
      </c>
      <c r="I38" s="19">
        <f t="shared" si="2"/>
        <v>0</v>
      </c>
    </row>
    <row r="39" spans="1:9" x14ac:dyDescent="0.3">
      <c r="A39" s="28" t="s">
        <v>283</v>
      </c>
      <c r="B39" s="28">
        <v>50</v>
      </c>
      <c r="C39" s="28"/>
      <c r="D39" s="29">
        <f t="shared" si="0"/>
        <v>50</v>
      </c>
      <c r="E39" s="28"/>
      <c r="F39" s="28">
        <v>50</v>
      </c>
      <c r="G39" s="29">
        <f t="shared" si="1"/>
        <v>0</v>
      </c>
      <c r="H39" s="30">
        <v>35</v>
      </c>
      <c r="I39" s="19">
        <f t="shared" si="2"/>
        <v>0</v>
      </c>
    </row>
    <row r="40" spans="1:9" x14ac:dyDescent="0.3">
      <c r="A40" s="28" t="s">
        <v>96</v>
      </c>
      <c r="B40" s="28">
        <v>40</v>
      </c>
      <c r="C40" s="28"/>
      <c r="D40" s="29">
        <f t="shared" si="0"/>
        <v>40</v>
      </c>
      <c r="E40" s="28"/>
      <c r="F40" s="28">
        <v>32</v>
      </c>
      <c r="G40" s="29">
        <f t="shared" si="1"/>
        <v>8</v>
      </c>
      <c r="H40" s="31">
        <v>250</v>
      </c>
      <c r="I40" s="19">
        <f t="shared" si="2"/>
        <v>2000</v>
      </c>
    </row>
    <row r="41" spans="1:9" x14ac:dyDescent="0.3">
      <c r="A41" s="28" t="s">
        <v>97</v>
      </c>
      <c r="B41" s="28">
        <v>24</v>
      </c>
      <c r="C41" s="28"/>
      <c r="D41" s="29">
        <f t="shared" si="0"/>
        <v>24</v>
      </c>
      <c r="E41" s="28"/>
      <c r="F41" s="28">
        <v>10</v>
      </c>
      <c r="G41" s="29">
        <f t="shared" si="1"/>
        <v>14</v>
      </c>
      <c r="H41" s="30">
        <v>320</v>
      </c>
      <c r="I41" s="19">
        <f t="shared" si="2"/>
        <v>4480</v>
      </c>
    </row>
    <row r="42" spans="1:9" x14ac:dyDescent="0.3">
      <c r="A42" s="28" t="s">
        <v>98</v>
      </c>
      <c r="B42" s="28"/>
      <c r="C42" s="28">
        <v>20</v>
      </c>
      <c r="D42" s="29">
        <f t="shared" si="0"/>
        <v>20</v>
      </c>
      <c r="E42" s="28"/>
      <c r="F42" s="28">
        <v>12</v>
      </c>
      <c r="G42" s="29">
        <f t="shared" si="1"/>
        <v>8</v>
      </c>
      <c r="H42" s="31">
        <v>250</v>
      </c>
      <c r="I42" s="19">
        <f t="shared" si="2"/>
        <v>2000</v>
      </c>
    </row>
    <row r="43" spans="1:9" x14ac:dyDescent="0.3">
      <c r="A43" s="28" t="s">
        <v>80</v>
      </c>
      <c r="B43" s="28"/>
      <c r="C43" s="28"/>
      <c r="D43" s="29">
        <f t="shared" si="0"/>
        <v>0</v>
      </c>
      <c r="E43" s="28"/>
      <c r="F43" s="28"/>
      <c r="G43" s="29">
        <f t="shared" si="1"/>
        <v>0</v>
      </c>
      <c r="H43" s="30">
        <v>1</v>
      </c>
      <c r="I43" s="19">
        <f t="shared" si="2"/>
        <v>0</v>
      </c>
    </row>
    <row r="44" spans="1:9" x14ac:dyDescent="0.3">
      <c r="A44" s="28" t="s">
        <v>93</v>
      </c>
      <c r="B44" s="28">
        <v>10</v>
      </c>
      <c r="C44" s="28"/>
      <c r="D44" s="29">
        <f t="shared" si="0"/>
        <v>10</v>
      </c>
      <c r="E44" s="28"/>
      <c r="F44" s="28"/>
      <c r="G44" s="29">
        <f t="shared" si="1"/>
        <v>10</v>
      </c>
      <c r="H44" s="30">
        <v>360</v>
      </c>
      <c r="I44" s="19">
        <f t="shared" si="2"/>
        <v>3600</v>
      </c>
    </row>
    <row r="45" spans="1:9" x14ac:dyDescent="0.3">
      <c r="A45" s="28" t="s">
        <v>134</v>
      </c>
      <c r="B45" s="28">
        <v>60</v>
      </c>
      <c r="C45" s="28"/>
      <c r="D45" s="29">
        <f t="shared" si="0"/>
        <v>60</v>
      </c>
      <c r="E45" s="28"/>
      <c r="F45" s="28">
        <v>55</v>
      </c>
      <c r="G45" s="29">
        <f t="shared" si="1"/>
        <v>5</v>
      </c>
      <c r="H45" s="30">
        <v>190</v>
      </c>
      <c r="I45" s="19">
        <f t="shared" si="2"/>
        <v>950</v>
      </c>
    </row>
    <row r="46" spans="1:9" x14ac:dyDescent="0.3">
      <c r="A46" s="28" t="s">
        <v>135</v>
      </c>
      <c r="B46" s="28"/>
      <c r="C46" s="28">
        <v>10</v>
      </c>
      <c r="D46" s="29">
        <f t="shared" si="0"/>
        <v>10</v>
      </c>
      <c r="E46" s="28"/>
      <c r="F46" s="28">
        <v>3</v>
      </c>
      <c r="G46" s="29">
        <f t="shared" si="1"/>
        <v>7</v>
      </c>
      <c r="H46" s="30">
        <v>490</v>
      </c>
      <c r="I46" s="19">
        <f t="shared" si="2"/>
        <v>3430</v>
      </c>
    </row>
    <row r="47" spans="1:9" x14ac:dyDescent="0.3">
      <c r="A47" s="28" t="s">
        <v>136</v>
      </c>
      <c r="B47" s="28">
        <v>30</v>
      </c>
      <c r="C47" s="28"/>
      <c r="D47" s="29">
        <f t="shared" si="0"/>
        <v>30</v>
      </c>
      <c r="E47" s="28"/>
      <c r="F47" s="28">
        <v>10</v>
      </c>
      <c r="G47" s="29">
        <f t="shared" si="1"/>
        <v>20</v>
      </c>
      <c r="H47" s="30">
        <v>800</v>
      </c>
      <c r="I47" s="19">
        <f t="shared" si="2"/>
        <v>16000</v>
      </c>
    </row>
    <row r="48" spans="1:9" x14ac:dyDescent="0.3">
      <c r="A48" s="28" t="s">
        <v>288</v>
      </c>
      <c r="B48" s="28">
        <v>7</v>
      </c>
      <c r="C48" s="28">
        <v>10</v>
      </c>
      <c r="D48" s="29">
        <f t="shared" si="0"/>
        <v>17</v>
      </c>
      <c r="E48" s="28"/>
      <c r="F48" s="28"/>
      <c r="G48" s="29">
        <f t="shared" si="1"/>
        <v>17</v>
      </c>
      <c r="H48" s="30">
        <v>2450</v>
      </c>
      <c r="I48" s="19">
        <f t="shared" si="2"/>
        <v>41650</v>
      </c>
    </row>
    <row r="49" spans="1:9" x14ac:dyDescent="0.3">
      <c r="A49" s="28" t="s">
        <v>94</v>
      </c>
      <c r="B49" s="28">
        <v>10</v>
      </c>
      <c r="C49" s="28"/>
      <c r="D49" s="29">
        <f t="shared" si="0"/>
        <v>10</v>
      </c>
      <c r="E49" s="28"/>
      <c r="F49" s="28">
        <v>10</v>
      </c>
      <c r="G49" s="29">
        <f t="shared" si="1"/>
        <v>0</v>
      </c>
      <c r="H49" s="30">
        <v>400</v>
      </c>
      <c r="I49" s="19">
        <f t="shared" si="2"/>
        <v>0</v>
      </c>
    </row>
    <row r="50" spans="1:9" x14ac:dyDescent="0.3">
      <c r="A50" s="28" t="s">
        <v>289</v>
      </c>
      <c r="B50" s="28"/>
      <c r="C50" s="28"/>
      <c r="D50" s="29">
        <f t="shared" si="0"/>
        <v>0</v>
      </c>
      <c r="E50" s="28"/>
      <c r="F50" s="28"/>
      <c r="G50" s="29">
        <f t="shared" si="1"/>
        <v>0</v>
      </c>
      <c r="H50" s="30">
        <v>1500</v>
      </c>
      <c r="I50" s="19">
        <f t="shared" si="2"/>
        <v>0</v>
      </c>
    </row>
    <row r="51" spans="1:9" x14ac:dyDescent="0.3">
      <c r="A51" s="28" t="s">
        <v>177</v>
      </c>
      <c r="B51" s="28">
        <v>10</v>
      </c>
      <c r="C51" s="28"/>
      <c r="D51" s="29">
        <f t="shared" si="0"/>
        <v>10</v>
      </c>
      <c r="E51" s="28"/>
      <c r="F51" s="28">
        <v>10</v>
      </c>
      <c r="G51" s="29">
        <f t="shared" si="1"/>
        <v>0</v>
      </c>
      <c r="H51" s="30">
        <v>800</v>
      </c>
      <c r="I51" s="19">
        <f t="shared" si="2"/>
        <v>0</v>
      </c>
    </row>
    <row r="52" spans="1:9" x14ac:dyDescent="0.3">
      <c r="A52" s="28" t="s">
        <v>178</v>
      </c>
      <c r="B52" s="28"/>
      <c r="C52" s="28">
        <v>11</v>
      </c>
      <c r="D52" s="29">
        <f t="shared" si="0"/>
        <v>11</v>
      </c>
      <c r="E52" s="28"/>
      <c r="F52" s="28">
        <v>10</v>
      </c>
      <c r="G52" s="29">
        <f t="shared" si="1"/>
        <v>1</v>
      </c>
      <c r="H52" s="30">
        <v>500</v>
      </c>
      <c r="I52" s="19">
        <f t="shared" si="2"/>
        <v>500</v>
      </c>
    </row>
    <row r="53" spans="1:9" x14ac:dyDescent="0.3">
      <c r="A53" s="28" t="s">
        <v>206</v>
      </c>
      <c r="B53" s="28"/>
      <c r="C53" s="28"/>
      <c r="D53" s="29">
        <f t="shared" si="0"/>
        <v>0</v>
      </c>
      <c r="E53" s="28"/>
      <c r="F53" s="28"/>
      <c r="G53" s="29">
        <f t="shared" si="1"/>
        <v>0</v>
      </c>
      <c r="H53" s="30">
        <v>1.2</v>
      </c>
      <c r="I53" s="19">
        <f t="shared" si="2"/>
        <v>0</v>
      </c>
    </row>
    <row r="54" spans="1:9" x14ac:dyDescent="0.3">
      <c r="A54" s="28" t="s">
        <v>238</v>
      </c>
      <c r="B54" s="28">
        <v>500</v>
      </c>
      <c r="C54" s="28"/>
      <c r="D54" s="29">
        <f t="shared" si="0"/>
        <v>500</v>
      </c>
      <c r="E54" s="28"/>
      <c r="F54" s="28">
        <v>100</v>
      </c>
      <c r="G54" s="29">
        <f t="shared" si="1"/>
        <v>400</v>
      </c>
      <c r="H54" s="30">
        <v>5</v>
      </c>
      <c r="I54" s="19">
        <f t="shared" si="2"/>
        <v>2000</v>
      </c>
    </row>
    <row r="55" spans="1:9" x14ac:dyDescent="0.3">
      <c r="A55" s="28" t="s">
        <v>152</v>
      </c>
      <c r="B55" s="28">
        <v>50</v>
      </c>
      <c r="C55" s="28"/>
      <c r="D55" s="29">
        <f t="shared" si="0"/>
        <v>50</v>
      </c>
      <c r="E55" s="28"/>
      <c r="F55" s="28"/>
      <c r="G55" s="29">
        <f t="shared" si="1"/>
        <v>50</v>
      </c>
      <c r="H55" s="30">
        <v>85</v>
      </c>
      <c r="I55" s="19">
        <f t="shared" si="2"/>
        <v>4250</v>
      </c>
    </row>
    <row r="56" spans="1:9" x14ac:dyDescent="0.3">
      <c r="A56" s="28" t="s">
        <v>254</v>
      </c>
      <c r="B56" s="28">
        <v>1</v>
      </c>
      <c r="C56" s="28"/>
      <c r="D56" s="29">
        <f t="shared" si="0"/>
        <v>1</v>
      </c>
      <c r="E56" s="28"/>
      <c r="F56" s="28">
        <v>1</v>
      </c>
      <c r="G56" s="29">
        <f t="shared" si="1"/>
        <v>0</v>
      </c>
      <c r="H56" s="30">
        <v>200</v>
      </c>
      <c r="I56" s="19">
        <f t="shared" si="2"/>
        <v>0</v>
      </c>
    </row>
    <row r="57" spans="1:9" x14ac:dyDescent="0.3">
      <c r="A57" s="28" t="s">
        <v>255</v>
      </c>
      <c r="B57" s="28"/>
      <c r="C57" s="28"/>
      <c r="D57" s="29">
        <f t="shared" si="0"/>
        <v>0</v>
      </c>
      <c r="E57" s="28"/>
      <c r="F57" s="28"/>
      <c r="G57" s="29">
        <f t="shared" si="1"/>
        <v>0</v>
      </c>
      <c r="H57" s="30">
        <v>200</v>
      </c>
      <c r="I57" s="19">
        <f t="shared" si="2"/>
        <v>0</v>
      </c>
    </row>
    <row r="58" spans="1:9" x14ac:dyDescent="0.3">
      <c r="A58" s="28" t="s">
        <v>256</v>
      </c>
      <c r="B58" s="28"/>
      <c r="C58" s="28"/>
      <c r="D58" s="29">
        <f t="shared" si="0"/>
        <v>0</v>
      </c>
      <c r="E58" s="28"/>
      <c r="F58" s="28"/>
      <c r="G58" s="29">
        <f t="shared" si="1"/>
        <v>0</v>
      </c>
      <c r="H58" s="30"/>
      <c r="I58" s="19">
        <f t="shared" si="2"/>
        <v>0</v>
      </c>
    </row>
    <row r="59" spans="1:9" x14ac:dyDescent="0.3">
      <c r="A59" s="28" t="s">
        <v>273</v>
      </c>
      <c r="B59" s="28">
        <v>26</v>
      </c>
      <c r="C59" s="28"/>
      <c r="D59" s="29">
        <f t="shared" si="0"/>
        <v>26</v>
      </c>
      <c r="E59" s="28"/>
      <c r="F59" s="28"/>
      <c r="G59" s="29">
        <f t="shared" si="1"/>
        <v>26</v>
      </c>
      <c r="H59" s="30">
        <v>750</v>
      </c>
      <c r="I59" s="19">
        <f t="shared" si="2"/>
        <v>19500</v>
      </c>
    </row>
    <row r="60" spans="1:9" x14ac:dyDescent="0.3">
      <c r="A60" s="28" t="s">
        <v>274</v>
      </c>
      <c r="B60" s="28">
        <v>5</v>
      </c>
      <c r="C60" s="28">
        <v>60</v>
      </c>
      <c r="D60" s="29">
        <f t="shared" si="0"/>
        <v>65</v>
      </c>
      <c r="E60" s="28"/>
      <c r="F60" s="28">
        <v>61</v>
      </c>
      <c r="G60" s="29">
        <f t="shared" si="1"/>
        <v>4</v>
      </c>
      <c r="H60" s="30">
        <v>350</v>
      </c>
      <c r="I60" s="19">
        <f t="shared" si="2"/>
        <v>1400</v>
      </c>
    </row>
    <row r="61" spans="1:9" x14ac:dyDescent="0.3">
      <c r="A61" s="28" t="s">
        <v>284</v>
      </c>
      <c r="B61" s="28"/>
      <c r="C61" s="28">
        <v>15</v>
      </c>
      <c r="D61" s="29">
        <f t="shared" si="0"/>
        <v>15</v>
      </c>
      <c r="E61" s="28"/>
      <c r="F61" s="28">
        <v>14</v>
      </c>
      <c r="G61" s="29">
        <f t="shared" si="1"/>
        <v>1</v>
      </c>
      <c r="H61" s="30">
        <v>600</v>
      </c>
      <c r="I61" s="19">
        <f t="shared" si="2"/>
        <v>600</v>
      </c>
    </row>
    <row r="62" spans="1:9" x14ac:dyDescent="0.3">
      <c r="A62" s="28" t="s">
        <v>275</v>
      </c>
      <c r="B62" s="28"/>
      <c r="C62" s="28"/>
      <c r="D62" s="29">
        <f t="shared" si="0"/>
        <v>0</v>
      </c>
      <c r="E62" s="28"/>
      <c r="F62" s="28"/>
      <c r="G62" s="29">
        <f t="shared" si="1"/>
        <v>0</v>
      </c>
      <c r="H62" s="30">
        <v>1300</v>
      </c>
      <c r="I62" s="19">
        <f t="shared" si="2"/>
        <v>0</v>
      </c>
    </row>
    <row r="63" spans="1:9" x14ac:dyDescent="0.3">
      <c r="A63" s="28" t="s">
        <v>290</v>
      </c>
      <c r="B63" s="28"/>
      <c r="C63" s="28">
        <v>2</v>
      </c>
      <c r="D63" s="29">
        <f t="shared" si="0"/>
        <v>2</v>
      </c>
      <c r="E63" s="28"/>
      <c r="F63" s="28">
        <v>1</v>
      </c>
      <c r="G63" s="29">
        <f t="shared" si="1"/>
        <v>1</v>
      </c>
      <c r="H63" s="30">
        <v>1800</v>
      </c>
      <c r="I63" s="19">
        <f t="shared" si="2"/>
        <v>1800</v>
      </c>
    </row>
    <row r="64" spans="1:9" x14ac:dyDescent="0.3">
      <c r="A64" s="28" t="s">
        <v>291</v>
      </c>
      <c r="B64" s="28"/>
      <c r="C64" s="28">
        <v>3</v>
      </c>
      <c r="D64" s="29">
        <f t="shared" si="0"/>
        <v>3</v>
      </c>
      <c r="E64" s="28"/>
      <c r="F64" s="28">
        <v>2</v>
      </c>
      <c r="G64" s="29">
        <f t="shared" si="1"/>
        <v>1</v>
      </c>
      <c r="H64" s="30">
        <v>450</v>
      </c>
      <c r="I64" s="19">
        <f t="shared" si="2"/>
        <v>450</v>
      </c>
    </row>
    <row r="65" spans="1:9" x14ac:dyDescent="0.3">
      <c r="A65" s="28" t="s">
        <v>300</v>
      </c>
      <c r="B65" s="28">
        <v>80</v>
      </c>
      <c r="C65" s="28"/>
      <c r="D65" s="29">
        <f t="shared" si="0"/>
        <v>80</v>
      </c>
      <c r="E65" s="28"/>
      <c r="F65" s="28"/>
      <c r="G65" s="29">
        <f t="shared" si="1"/>
        <v>80</v>
      </c>
      <c r="H65" s="30">
        <v>90</v>
      </c>
      <c r="I65" s="19">
        <f t="shared" si="2"/>
        <v>7200</v>
      </c>
    </row>
    <row r="66" spans="1:9" x14ac:dyDescent="0.3">
      <c r="A66" s="28"/>
      <c r="B66" s="28"/>
      <c r="C66" s="28"/>
      <c r="D66" s="29">
        <f t="shared" si="0"/>
        <v>0</v>
      </c>
      <c r="E66" s="28"/>
      <c r="F66" s="28"/>
      <c r="G66" s="29">
        <f t="shared" si="1"/>
        <v>0</v>
      </c>
      <c r="H66" s="30"/>
      <c r="I66" s="19"/>
    </row>
    <row r="67" spans="1:9" x14ac:dyDescent="0.3">
      <c r="A67" s="24" t="s">
        <v>15</v>
      </c>
      <c r="B67" s="28"/>
      <c r="C67" s="28"/>
      <c r="D67" s="29">
        <f t="shared" si="0"/>
        <v>0</v>
      </c>
      <c r="E67" s="28"/>
      <c r="F67" s="28"/>
      <c r="G67" s="29">
        <f t="shared" si="1"/>
        <v>0</v>
      </c>
      <c r="H67" s="30"/>
      <c r="I67" s="19">
        <f t="shared" si="2"/>
        <v>0</v>
      </c>
    </row>
    <row r="68" spans="1:9" x14ac:dyDescent="0.3">
      <c r="A68" s="28" t="s">
        <v>16</v>
      </c>
      <c r="B68" s="28">
        <v>500</v>
      </c>
      <c r="C68" s="28"/>
      <c r="D68" s="29">
        <f t="shared" si="0"/>
        <v>500</v>
      </c>
      <c r="E68" s="28"/>
      <c r="F68" s="28">
        <v>490</v>
      </c>
      <c r="G68" s="29">
        <f t="shared" si="1"/>
        <v>10</v>
      </c>
      <c r="H68" s="30">
        <v>10</v>
      </c>
      <c r="I68" s="19">
        <f t="shared" si="2"/>
        <v>100</v>
      </c>
    </row>
    <row r="69" spans="1:9" x14ac:dyDescent="0.3">
      <c r="A69" s="28" t="s">
        <v>266</v>
      </c>
      <c r="B69" s="28">
        <v>400</v>
      </c>
      <c r="C69" s="28"/>
      <c r="D69" s="29">
        <f t="shared" si="0"/>
        <v>400</v>
      </c>
      <c r="E69" s="28"/>
      <c r="F69" s="28"/>
      <c r="G69" s="29">
        <f t="shared" si="1"/>
        <v>400</v>
      </c>
      <c r="H69" s="30">
        <v>10</v>
      </c>
      <c r="I69" s="19">
        <f t="shared" si="2"/>
        <v>4000</v>
      </c>
    </row>
    <row r="70" spans="1:9" x14ac:dyDescent="0.3">
      <c r="A70" s="28" t="s">
        <v>208</v>
      </c>
      <c r="B70" s="28"/>
      <c r="C70" s="28"/>
      <c r="D70" s="29">
        <f t="shared" si="0"/>
        <v>0</v>
      </c>
      <c r="E70" s="28"/>
      <c r="F70" s="28"/>
      <c r="G70" s="29">
        <f t="shared" si="1"/>
        <v>0</v>
      </c>
      <c r="H70" s="30">
        <v>10</v>
      </c>
      <c r="I70" s="19">
        <f t="shared" si="2"/>
        <v>0</v>
      </c>
    </row>
    <row r="71" spans="1:9" x14ac:dyDescent="0.3">
      <c r="A71" s="28" t="s">
        <v>17</v>
      </c>
      <c r="B71" s="28">
        <v>350</v>
      </c>
      <c r="C71" s="28"/>
      <c r="D71" s="29">
        <f t="shared" si="0"/>
        <v>350</v>
      </c>
      <c r="E71" s="28"/>
      <c r="F71" s="28">
        <v>350</v>
      </c>
      <c r="G71" s="29">
        <f t="shared" si="1"/>
        <v>0</v>
      </c>
      <c r="H71" s="30">
        <v>500</v>
      </c>
      <c r="I71" s="19">
        <f t="shared" si="2"/>
        <v>0</v>
      </c>
    </row>
    <row r="72" spans="1:9" x14ac:dyDescent="0.3">
      <c r="A72" s="28" t="s">
        <v>18</v>
      </c>
      <c r="B72" s="28"/>
      <c r="C72" s="28"/>
      <c r="D72" s="29">
        <f t="shared" si="0"/>
        <v>0</v>
      </c>
      <c r="E72" s="28"/>
      <c r="F72" s="28"/>
      <c r="G72" s="29">
        <f t="shared" si="1"/>
        <v>0</v>
      </c>
      <c r="H72" s="30"/>
      <c r="I72" s="19">
        <f t="shared" si="2"/>
        <v>0</v>
      </c>
    </row>
    <row r="73" spans="1:9" x14ac:dyDescent="0.3">
      <c r="A73" s="28" t="s">
        <v>19</v>
      </c>
      <c r="B73" s="28">
        <v>300</v>
      </c>
      <c r="C73" s="28"/>
      <c r="D73" s="29">
        <f t="shared" si="0"/>
        <v>300</v>
      </c>
      <c r="E73" s="28"/>
      <c r="F73" s="28"/>
      <c r="G73" s="29">
        <f t="shared" si="1"/>
        <v>300</v>
      </c>
      <c r="H73" s="30">
        <v>10</v>
      </c>
      <c r="I73" s="19">
        <f t="shared" si="2"/>
        <v>3000</v>
      </c>
    </row>
    <row r="74" spans="1:9" x14ac:dyDescent="0.3">
      <c r="A74" s="28" t="s">
        <v>267</v>
      </c>
      <c r="B74" s="28"/>
      <c r="C74" s="28"/>
      <c r="D74" s="29">
        <f t="shared" si="0"/>
        <v>0</v>
      </c>
      <c r="E74" s="28"/>
      <c r="F74" s="28"/>
      <c r="G74" s="29">
        <f t="shared" si="1"/>
        <v>0</v>
      </c>
      <c r="H74" s="30">
        <v>10</v>
      </c>
      <c r="I74" s="19">
        <f t="shared" si="2"/>
        <v>0</v>
      </c>
    </row>
    <row r="75" spans="1:9" x14ac:dyDescent="0.3">
      <c r="A75" s="28" t="s">
        <v>86</v>
      </c>
      <c r="B75" s="28">
        <v>4</v>
      </c>
      <c r="C75" s="28"/>
      <c r="D75" s="29">
        <f t="shared" si="0"/>
        <v>4</v>
      </c>
      <c r="E75" s="28"/>
      <c r="F75" s="28"/>
      <c r="G75" s="29">
        <f t="shared" si="1"/>
        <v>4</v>
      </c>
      <c r="H75" s="31">
        <v>450</v>
      </c>
      <c r="I75" s="19">
        <f t="shared" si="2"/>
        <v>1800</v>
      </c>
    </row>
    <row r="76" spans="1:9" x14ac:dyDescent="0.3">
      <c r="A76" s="28" t="s">
        <v>87</v>
      </c>
      <c r="B76" s="28">
        <v>10</v>
      </c>
      <c r="C76" s="28"/>
      <c r="D76" s="29">
        <f t="shared" si="0"/>
        <v>10</v>
      </c>
      <c r="E76" s="28"/>
      <c r="F76" s="28"/>
      <c r="G76" s="29">
        <f t="shared" si="1"/>
        <v>10</v>
      </c>
      <c r="H76" s="31">
        <v>65</v>
      </c>
      <c r="I76" s="19">
        <f t="shared" si="2"/>
        <v>650</v>
      </c>
    </row>
    <row r="77" spans="1:9" x14ac:dyDescent="0.3">
      <c r="A77" s="28" t="s">
        <v>85</v>
      </c>
      <c r="B77" s="28"/>
      <c r="C77" s="28">
        <v>35</v>
      </c>
      <c r="D77" s="29">
        <f t="shared" si="0"/>
        <v>35</v>
      </c>
      <c r="E77" s="28"/>
      <c r="F77" s="28">
        <v>30</v>
      </c>
      <c r="G77" s="29">
        <f t="shared" si="1"/>
        <v>5</v>
      </c>
      <c r="H77" s="32"/>
      <c r="I77" s="19">
        <f t="shared" si="2"/>
        <v>0</v>
      </c>
    </row>
    <row r="78" spans="1:9" x14ac:dyDescent="0.3">
      <c r="A78" s="28" t="s">
        <v>88</v>
      </c>
      <c r="B78" s="28">
        <v>6</v>
      </c>
      <c r="C78" s="28"/>
      <c r="D78" s="29">
        <f t="shared" si="0"/>
        <v>6</v>
      </c>
      <c r="E78" s="28"/>
      <c r="F78" s="28">
        <v>6</v>
      </c>
      <c r="G78" s="29">
        <f t="shared" si="1"/>
        <v>0</v>
      </c>
      <c r="H78" s="32">
        <v>1000</v>
      </c>
      <c r="I78" s="19">
        <f t="shared" si="2"/>
        <v>0</v>
      </c>
    </row>
    <row r="79" spans="1:9" x14ac:dyDescent="0.3">
      <c r="A79" s="28" t="s">
        <v>89</v>
      </c>
      <c r="B79" s="28">
        <v>2</v>
      </c>
      <c r="C79" s="28"/>
      <c r="D79" s="29">
        <f t="shared" si="0"/>
        <v>2</v>
      </c>
      <c r="E79" s="28"/>
      <c r="F79" s="28"/>
      <c r="G79" s="29">
        <f t="shared" si="1"/>
        <v>2</v>
      </c>
      <c r="H79" s="32">
        <v>300</v>
      </c>
      <c r="I79" s="19">
        <f t="shared" si="2"/>
        <v>600</v>
      </c>
    </row>
    <row r="80" spans="1:9" x14ac:dyDescent="0.3">
      <c r="A80" s="28" t="s">
        <v>90</v>
      </c>
      <c r="B80" s="28">
        <v>400</v>
      </c>
      <c r="C80" s="28"/>
      <c r="D80" s="29">
        <f t="shared" si="0"/>
        <v>400</v>
      </c>
      <c r="E80" s="28"/>
      <c r="F80" s="28">
        <v>40</v>
      </c>
      <c r="G80" s="29">
        <f t="shared" si="1"/>
        <v>360</v>
      </c>
      <c r="H80" s="30">
        <v>350</v>
      </c>
      <c r="I80" s="19">
        <f t="shared" si="2"/>
        <v>126000</v>
      </c>
    </row>
    <row r="81" spans="1:9" x14ac:dyDescent="0.3">
      <c r="A81" s="28" t="s">
        <v>99</v>
      </c>
      <c r="B81" s="28"/>
      <c r="C81" s="28">
        <v>24</v>
      </c>
      <c r="D81" s="29">
        <f t="shared" si="0"/>
        <v>24</v>
      </c>
      <c r="E81" s="28"/>
      <c r="F81" s="28">
        <v>20</v>
      </c>
      <c r="G81" s="29">
        <f t="shared" si="1"/>
        <v>4</v>
      </c>
      <c r="H81" s="32">
        <v>60</v>
      </c>
      <c r="I81" s="19">
        <f t="shared" si="2"/>
        <v>240</v>
      </c>
    </row>
    <row r="82" spans="1:9" x14ac:dyDescent="0.3">
      <c r="A82" s="28" t="s">
        <v>117</v>
      </c>
      <c r="B82" s="28">
        <v>30</v>
      </c>
      <c r="C82" s="28"/>
      <c r="D82" s="29">
        <f t="shared" ref="D82:D154" si="3">B82+C82</f>
        <v>30</v>
      </c>
      <c r="E82" s="28"/>
      <c r="F82" s="28">
        <v>25</v>
      </c>
      <c r="G82" s="29">
        <f t="shared" si="1"/>
        <v>5</v>
      </c>
      <c r="H82" s="30">
        <v>30</v>
      </c>
      <c r="I82" s="19">
        <f t="shared" si="2"/>
        <v>150</v>
      </c>
    </row>
    <row r="83" spans="1:9" x14ac:dyDescent="0.3">
      <c r="A83" s="28" t="s">
        <v>150</v>
      </c>
      <c r="B83" s="28">
        <v>12</v>
      </c>
      <c r="C83" s="28"/>
      <c r="D83" s="29">
        <f t="shared" si="3"/>
        <v>12</v>
      </c>
      <c r="E83" s="28"/>
      <c r="F83" s="28"/>
      <c r="G83" s="29">
        <f t="shared" si="1"/>
        <v>12</v>
      </c>
      <c r="H83" s="30">
        <v>450</v>
      </c>
      <c r="I83" s="19">
        <f t="shared" si="2"/>
        <v>5400</v>
      </c>
    </row>
    <row r="84" spans="1:9" x14ac:dyDescent="0.3">
      <c r="A84" s="28" t="s">
        <v>217</v>
      </c>
      <c r="B84" s="28"/>
      <c r="C84" s="28"/>
      <c r="D84" s="29">
        <f t="shared" si="3"/>
        <v>0</v>
      </c>
      <c r="E84" s="28"/>
      <c r="F84" s="28"/>
      <c r="G84" s="29">
        <f t="shared" si="1"/>
        <v>0</v>
      </c>
      <c r="H84" s="30">
        <v>150</v>
      </c>
      <c r="I84" s="19">
        <f t="shared" si="2"/>
        <v>0</v>
      </c>
    </row>
    <row r="85" spans="1:9" x14ac:dyDescent="0.3">
      <c r="A85" s="28" t="s">
        <v>205</v>
      </c>
      <c r="B85" s="28"/>
      <c r="C85" s="28"/>
      <c r="D85" s="29">
        <f t="shared" si="3"/>
        <v>0</v>
      </c>
      <c r="E85" s="28"/>
      <c r="F85" s="28"/>
      <c r="G85" s="29">
        <f t="shared" si="1"/>
        <v>0</v>
      </c>
      <c r="H85" s="30">
        <v>1800</v>
      </c>
      <c r="I85" s="19">
        <f t="shared" si="2"/>
        <v>0</v>
      </c>
    </row>
    <row r="86" spans="1:9" x14ac:dyDescent="0.3">
      <c r="A86" s="28" t="s">
        <v>247</v>
      </c>
      <c r="B86" s="28"/>
      <c r="C86" s="28"/>
      <c r="D86" s="29">
        <f t="shared" si="3"/>
        <v>0</v>
      </c>
      <c r="E86" s="28"/>
      <c r="F86" s="28"/>
      <c r="G86" s="29">
        <f t="shared" si="1"/>
        <v>0</v>
      </c>
      <c r="H86" s="30">
        <v>550</v>
      </c>
      <c r="I86" s="19">
        <f t="shared" si="2"/>
        <v>0</v>
      </c>
    </row>
    <row r="87" spans="1:9" x14ac:dyDescent="0.3">
      <c r="A87" s="28" t="s">
        <v>257</v>
      </c>
      <c r="B87" s="28"/>
      <c r="C87" s="28"/>
      <c r="D87" s="29">
        <f t="shared" si="3"/>
        <v>0</v>
      </c>
      <c r="E87" s="28"/>
      <c r="F87" s="28"/>
      <c r="G87" s="29">
        <f t="shared" si="1"/>
        <v>0</v>
      </c>
      <c r="H87" s="30"/>
      <c r="I87" s="19">
        <f t="shared" si="2"/>
        <v>0</v>
      </c>
    </row>
    <row r="88" spans="1:9" x14ac:dyDescent="0.3">
      <c r="A88" s="28" t="s">
        <v>265</v>
      </c>
      <c r="B88" s="28"/>
      <c r="C88" s="28"/>
      <c r="D88" s="29">
        <f t="shared" si="3"/>
        <v>0</v>
      </c>
      <c r="E88" s="28"/>
      <c r="F88" s="28"/>
      <c r="G88" s="29">
        <f t="shared" si="1"/>
        <v>0</v>
      </c>
      <c r="H88" s="30">
        <v>750</v>
      </c>
      <c r="I88" s="19">
        <f t="shared" si="2"/>
        <v>0</v>
      </c>
    </row>
    <row r="89" spans="1:9" x14ac:dyDescent="0.3">
      <c r="A89" s="28" t="s">
        <v>292</v>
      </c>
      <c r="B89" s="28"/>
      <c r="C89" s="28"/>
      <c r="D89" s="29">
        <f t="shared" si="3"/>
        <v>0</v>
      </c>
      <c r="E89" s="28"/>
      <c r="F89" s="28"/>
      <c r="G89" s="29">
        <f t="shared" si="1"/>
        <v>0</v>
      </c>
      <c r="H89" s="30">
        <v>150</v>
      </c>
      <c r="I89" s="19">
        <f t="shared" si="2"/>
        <v>0</v>
      </c>
    </row>
    <row r="90" spans="1:9" x14ac:dyDescent="0.3">
      <c r="A90" s="28" t="s">
        <v>301</v>
      </c>
      <c r="B90" s="28"/>
      <c r="C90" s="28"/>
      <c r="D90" s="29">
        <f t="shared" si="3"/>
        <v>0</v>
      </c>
      <c r="E90" s="28"/>
      <c r="F90" s="28"/>
      <c r="G90" s="29">
        <f t="shared" si="1"/>
        <v>0</v>
      </c>
      <c r="H90" s="30">
        <v>335</v>
      </c>
      <c r="I90" s="19">
        <f t="shared" si="2"/>
        <v>0</v>
      </c>
    </row>
    <row r="91" spans="1:9" x14ac:dyDescent="0.3">
      <c r="A91" s="28" t="s">
        <v>316</v>
      </c>
      <c r="B91" s="28"/>
      <c r="C91" s="28"/>
      <c r="D91" s="29"/>
      <c r="E91" s="28"/>
      <c r="F91" s="28"/>
      <c r="G91" s="29"/>
      <c r="H91" s="30">
        <v>150</v>
      </c>
      <c r="I91" s="19">
        <f t="shared" si="2"/>
        <v>0</v>
      </c>
    </row>
    <row r="92" spans="1:9" x14ac:dyDescent="0.3">
      <c r="A92" s="28" t="s">
        <v>336</v>
      </c>
      <c r="B92" s="28"/>
      <c r="C92" s="28"/>
      <c r="D92" s="29">
        <f t="shared" si="3"/>
        <v>0</v>
      </c>
      <c r="E92" s="28"/>
      <c r="F92" s="28"/>
      <c r="G92" s="29">
        <f t="shared" si="1"/>
        <v>0</v>
      </c>
      <c r="H92" s="30">
        <v>300</v>
      </c>
      <c r="I92" s="19">
        <f t="shared" si="2"/>
        <v>0</v>
      </c>
    </row>
    <row r="93" spans="1:9" x14ac:dyDescent="0.3">
      <c r="A93" s="28" t="s">
        <v>323</v>
      </c>
      <c r="B93" s="28"/>
      <c r="C93" s="28"/>
      <c r="D93" s="29">
        <f t="shared" si="3"/>
        <v>0</v>
      </c>
      <c r="E93" s="28"/>
      <c r="F93" s="28"/>
      <c r="G93" s="29">
        <f t="shared" si="1"/>
        <v>0</v>
      </c>
      <c r="H93" s="30">
        <v>550</v>
      </c>
      <c r="I93" s="19">
        <f t="shared" si="2"/>
        <v>0</v>
      </c>
    </row>
    <row r="94" spans="1:9" x14ac:dyDescent="0.3">
      <c r="A94" s="28"/>
      <c r="B94" s="28"/>
      <c r="C94" s="28"/>
      <c r="D94" s="29">
        <f t="shared" si="3"/>
        <v>0</v>
      </c>
      <c r="E94" s="28"/>
      <c r="F94" s="28"/>
      <c r="G94" s="29">
        <f t="shared" si="1"/>
        <v>0</v>
      </c>
      <c r="H94" s="30"/>
      <c r="I94" s="19">
        <f t="shared" si="2"/>
        <v>0</v>
      </c>
    </row>
    <row r="95" spans="1:9" x14ac:dyDescent="0.3">
      <c r="A95" s="28"/>
      <c r="B95" s="28"/>
      <c r="C95" s="28"/>
      <c r="D95" s="29"/>
      <c r="E95" s="28"/>
      <c r="F95" s="28"/>
      <c r="G95" s="29"/>
      <c r="H95" s="30"/>
      <c r="I95" s="19">
        <f t="shared" si="2"/>
        <v>0</v>
      </c>
    </row>
    <row r="96" spans="1:9" x14ac:dyDescent="0.3">
      <c r="A96" s="24" t="s">
        <v>20</v>
      </c>
      <c r="B96" s="28"/>
      <c r="C96" s="28"/>
      <c r="D96" s="29">
        <f t="shared" si="3"/>
        <v>0</v>
      </c>
      <c r="E96" s="28"/>
      <c r="F96" s="28"/>
      <c r="G96" s="29">
        <f t="shared" si="1"/>
        <v>0</v>
      </c>
      <c r="H96" s="30"/>
      <c r="I96" s="19">
        <f t="shared" si="2"/>
        <v>0</v>
      </c>
    </row>
    <row r="97" spans="1:9" x14ac:dyDescent="0.3">
      <c r="A97" s="28" t="s">
        <v>21</v>
      </c>
      <c r="B97" s="28">
        <v>900</v>
      </c>
      <c r="C97" s="28"/>
      <c r="D97" s="29">
        <f t="shared" si="3"/>
        <v>900</v>
      </c>
      <c r="E97" s="28"/>
      <c r="F97" s="28">
        <v>100</v>
      </c>
      <c r="G97" s="29">
        <f t="shared" si="1"/>
        <v>800</v>
      </c>
      <c r="H97" s="30">
        <v>6</v>
      </c>
      <c r="I97" s="19">
        <f t="shared" si="2"/>
        <v>4800</v>
      </c>
    </row>
    <row r="98" spans="1:9" x14ac:dyDescent="0.3">
      <c r="A98" s="28" t="s">
        <v>285</v>
      </c>
      <c r="B98" s="28"/>
      <c r="C98" s="28"/>
      <c r="D98" s="29">
        <f t="shared" si="3"/>
        <v>0</v>
      </c>
      <c r="E98" s="28"/>
      <c r="F98" s="28"/>
      <c r="G98" s="29">
        <f t="shared" si="1"/>
        <v>0</v>
      </c>
      <c r="H98" s="30">
        <v>6</v>
      </c>
      <c r="I98" s="19">
        <f t="shared" si="2"/>
        <v>0</v>
      </c>
    </row>
    <row r="99" spans="1:9" x14ac:dyDescent="0.3">
      <c r="A99" s="28" t="s">
        <v>95</v>
      </c>
      <c r="B99" s="28">
        <v>10</v>
      </c>
      <c r="C99" s="28"/>
      <c r="D99" s="29">
        <f t="shared" si="3"/>
        <v>10</v>
      </c>
      <c r="E99" s="28"/>
      <c r="F99" s="28"/>
      <c r="G99" s="29">
        <f t="shared" si="1"/>
        <v>10</v>
      </c>
      <c r="H99" s="31">
        <v>360</v>
      </c>
      <c r="I99" s="19">
        <f t="shared" si="2"/>
        <v>3600</v>
      </c>
    </row>
    <row r="100" spans="1:9" x14ac:dyDescent="0.3">
      <c r="A100" s="28" t="s">
        <v>113</v>
      </c>
      <c r="B100" s="28">
        <v>6</v>
      </c>
      <c r="C100" s="28"/>
      <c r="D100" s="29">
        <f t="shared" si="3"/>
        <v>6</v>
      </c>
      <c r="E100" s="28"/>
      <c r="F100" s="28">
        <v>4</v>
      </c>
      <c r="G100" s="29">
        <f t="shared" si="1"/>
        <v>2</v>
      </c>
      <c r="H100" s="30">
        <v>600</v>
      </c>
      <c r="I100" s="19">
        <f t="shared" si="2"/>
        <v>1200</v>
      </c>
    </row>
    <row r="101" spans="1:9" x14ac:dyDescent="0.3">
      <c r="A101" s="28" t="s">
        <v>239</v>
      </c>
      <c r="B101" s="28"/>
      <c r="C101" s="28"/>
      <c r="D101" s="29">
        <f t="shared" si="3"/>
        <v>0</v>
      </c>
      <c r="E101" s="28"/>
      <c r="F101" s="28"/>
      <c r="G101" s="29">
        <f t="shared" si="1"/>
        <v>0</v>
      </c>
      <c r="H101" s="30">
        <v>500</v>
      </c>
      <c r="I101" s="19">
        <f t="shared" si="2"/>
        <v>0</v>
      </c>
    </row>
    <row r="102" spans="1:9" x14ac:dyDescent="0.3">
      <c r="A102" s="28" t="s">
        <v>334</v>
      </c>
      <c r="B102" s="28"/>
      <c r="C102" s="28"/>
      <c r="D102" s="29">
        <f t="shared" si="3"/>
        <v>0</v>
      </c>
      <c r="E102" s="28"/>
      <c r="F102" s="28"/>
      <c r="G102" s="29">
        <f t="shared" si="1"/>
        <v>0</v>
      </c>
      <c r="H102" s="30">
        <v>300</v>
      </c>
      <c r="I102" s="19">
        <f t="shared" si="2"/>
        <v>0</v>
      </c>
    </row>
    <row r="103" spans="1:9" x14ac:dyDescent="0.3">
      <c r="A103" s="28" t="s">
        <v>342</v>
      </c>
      <c r="B103" s="28">
        <v>1</v>
      </c>
      <c r="C103" s="28"/>
      <c r="D103" s="29">
        <f t="shared" si="3"/>
        <v>1</v>
      </c>
      <c r="E103" s="28"/>
      <c r="F103" s="28"/>
      <c r="G103" s="29">
        <f t="shared" si="1"/>
        <v>1</v>
      </c>
      <c r="H103" s="30">
        <v>950</v>
      </c>
      <c r="I103" s="19">
        <f t="shared" si="2"/>
        <v>950</v>
      </c>
    </row>
    <row r="104" spans="1:9" x14ac:dyDescent="0.3">
      <c r="A104" s="28"/>
      <c r="B104" s="28"/>
      <c r="C104" s="28"/>
      <c r="D104" s="29">
        <f t="shared" si="3"/>
        <v>0</v>
      </c>
      <c r="E104" s="28"/>
      <c r="F104" s="28"/>
      <c r="G104" s="29">
        <f t="shared" si="1"/>
        <v>0</v>
      </c>
      <c r="H104" s="30"/>
      <c r="I104" s="19">
        <f t="shared" si="2"/>
        <v>0</v>
      </c>
    </row>
    <row r="105" spans="1:9" x14ac:dyDescent="0.3">
      <c r="A105" s="28"/>
      <c r="B105" s="28"/>
      <c r="C105" s="28"/>
      <c r="D105" s="29">
        <f t="shared" si="3"/>
        <v>0</v>
      </c>
      <c r="E105" s="28"/>
      <c r="F105" s="28"/>
      <c r="G105" s="29">
        <f t="shared" si="1"/>
        <v>0</v>
      </c>
      <c r="H105" s="30"/>
      <c r="I105" s="19">
        <f t="shared" si="2"/>
        <v>0</v>
      </c>
    </row>
    <row r="106" spans="1:9" x14ac:dyDescent="0.3">
      <c r="A106" s="24" t="s">
        <v>22</v>
      </c>
      <c r="B106" s="28"/>
      <c r="C106" s="28"/>
      <c r="D106" s="29">
        <f t="shared" si="3"/>
        <v>0</v>
      </c>
      <c r="E106" s="28"/>
      <c r="F106" s="28"/>
      <c r="G106" s="29">
        <f>D106-E106-F106</f>
        <v>0</v>
      </c>
      <c r="H106" s="30"/>
      <c r="I106" s="19">
        <f t="shared" si="2"/>
        <v>0</v>
      </c>
    </row>
    <row r="107" spans="1:9" x14ac:dyDescent="0.3">
      <c r="A107" s="28" t="s">
        <v>23</v>
      </c>
      <c r="B107" s="28"/>
      <c r="C107" s="28"/>
      <c r="D107" s="29">
        <f t="shared" si="3"/>
        <v>0</v>
      </c>
      <c r="E107" s="28"/>
      <c r="F107" s="28"/>
      <c r="G107" s="29">
        <f>D107-E107-F107</f>
        <v>0</v>
      </c>
      <c r="H107" s="30">
        <v>20</v>
      </c>
      <c r="I107" s="19">
        <f t="shared" si="2"/>
        <v>0</v>
      </c>
    </row>
    <row r="108" spans="1:9" x14ac:dyDescent="0.3">
      <c r="A108" s="28" t="s">
        <v>268</v>
      </c>
      <c r="B108" s="28">
        <v>20</v>
      </c>
      <c r="C108" s="28"/>
      <c r="D108" s="29">
        <f t="shared" si="3"/>
        <v>20</v>
      </c>
      <c r="E108" s="28"/>
      <c r="F108" s="28">
        <v>20</v>
      </c>
      <c r="G108" s="29">
        <f t="shared" si="1"/>
        <v>0</v>
      </c>
      <c r="H108" s="30">
        <v>200</v>
      </c>
      <c r="I108" s="19">
        <f t="shared" si="2"/>
        <v>0</v>
      </c>
    </row>
    <row r="109" spans="1:9" x14ac:dyDescent="0.3">
      <c r="A109" s="28" t="s">
        <v>24</v>
      </c>
      <c r="B109" s="28">
        <v>200</v>
      </c>
      <c r="C109" s="28">
        <v>1000</v>
      </c>
      <c r="D109" s="29">
        <f t="shared" si="3"/>
        <v>1200</v>
      </c>
      <c r="E109" s="28"/>
      <c r="F109" s="28">
        <v>400</v>
      </c>
      <c r="G109" s="29">
        <f t="shared" si="1"/>
        <v>800</v>
      </c>
      <c r="H109" s="30">
        <v>3</v>
      </c>
      <c r="I109" s="19">
        <f t="shared" si="2"/>
        <v>2400</v>
      </c>
    </row>
    <row r="110" spans="1:9" x14ac:dyDescent="0.3">
      <c r="A110" s="28" t="s">
        <v>258</v>
      </c>
      <c r="B110" s="28"/>
      <c r="C110" s="28"/>
      <c r="D110" s="29">
        <f t="shared" si="3"/>
        <v>0</v>
      </c>
      <c r="E110" s="28"/>
      <c r="F110" s="28"/>
      <c r="G110" s="29">
        <f t="shared" si="1"/>
        <v>0</v>
      </c>
      <c r="H110" s="30"/>
      <c r="I110" s="19">
        <f t="shared" si="2"/>
        <v>0</v>
      </c>
    </row>
    <row r="111" spans="1:9" x14ac:dyDescent="0.3">
      <c r="A111" s="28" t="s">
        <v>25</v>
      </c>
      <c r="B111" s="28">
        <v>15</v>
      </c>
      <c r="C111" s="28"/>
      <c r="D111" s="29">
        <f t="shared" si="3"/>
        <v>15</v>
      </c>
      <c r="E111" s="28"/>
      <c r="F111" s="28">
        <v>15</v>
      </c>
      <c r="G111" s="29">
        <f t="shared" si="1"/>
        <v>0</v>
      </c>
      <c r="H111" s="30">
        <v>600</v>
      </c>
      <c r="I111" s="19">
        <f t="shared" si="2"/>
        <v>0</v>
      </c>
    </row>
    <row r="112" spans="1:9" x14ac:dyDescent="0.3">
      <c r="A112" s="28" t="s">
        <v>26</v>
      </c>
      <c r="B112" s="28">
        <v>10</v>
      </c>
      <c r="C112" s="28"/>
      <c r="D112" s="29">
        <f t="shared" si="3"/>
        <v>10</v>
      </c>
      <c r="E112" s="28"/>
      <c r="F112" s="28">
        <v>10</v>
      </c>
      <c r="G112" s="29">
        <f t="shared" si="1"/>
        <v>0</v>
      </c>
      <c r="H112" s="30">
        <v>950</v>
      </c>
      <c r="I112" s="19">
        <f t="shared" si="2"/>
        <v>0</v>
      </c>
    </row>
    <row r="113" spans="1:9" x14ac:dyDescent="0.3">
      <c r="A113" s="28" t="s">
        <v>27</v>
      </c>
      <c r="B113" s="28"/>
      <c r="C113" s="28"/>
      <c r="D113" s="29">
        <f t="shared" si="3"/>
        <v>0</v>
      </c>
      <c r="E113" s="28"/>
      <c r="F113" s="28"/>
      <c r="G113" s="29">
        <f t="shared" si="1"/>
        <v>0</v>
      </c>
      <c r="H113" s="30"/>
      <c r="I113" s="19">
        <f t="shared" si="2"/>
        <v>0</v>
      </c>
    </row>
    <row r="114" spans="1:9" x14ac:dyDescent="0.3">
      <c r="A114" s="28" t="s">
        <v>28</v>
      </c>
      <c r="B114" s="28">
        <v>30</v>
      </c>
      <c r="C114" s="28"/>
      <c r="D114" s="29">
        <f t="shared" si="3"/>
        <v>30</v>
      </c>
      <c r="E114" s="28"/>
      <c r="F114" s="28"/>
      <c r="G114" s="29">
        <f t="shared" si="1"/>
        <v>30</v>
      </c>
      <c r="H114" s="30">
        <v>50</v>
      </c>
      <c r="I114" s="19">
        <f t="shared" si="2"/>
        <v>1500</v>
      </c>
    </row>
    <row r="115" spans="1:9" x14ac:dyDescent="0.3">
      <c r="A115" s="28" t="s">
        <v>29</v>
      </c>
      <c r="B115" s="28">
        <v>15</v>
      </c>
      <c r="C115" s="28"/>
      <c r="D115" s="29">
        <f t="shared" si="3"/>
        <v>15</v>
      </c>
      <c r="E115" s="28"/>
      <c r="F115" s="28"/>
      <c r="G115" s="29">
        <f t="shared" si="1"/>
        <v>15</v>
      </c>
      <c r="H115" s="30">
        <v>1100</v>
      </c>
      <c r="I115" s="19">
        <f t="shared" si="2"/>
        <v>16500</v>
      </c>
    </row>
    <row r="116" spans="1:9" x14ac:dyDescent="0.3">
      <c r="A116" s="28" t="s">
        <v>30</v>
      </c>
      <c r="B116" s="28">
        <v>30</v>
      </c>
      <c r="C116" s="28">
        <v>50</v>
      </c>
      <c r="D116" s="29">
        <f t="shared" si="3"/>
        <v>80</v>
      </c>
      <c r="E116" s="28"/>
      <c r="F116" s="28">
        <v>50</v>
      </c>
      <c r="G116" s="29">
        <f t="shared" ref="G116:G201" si="4">D116-E116-F116</f>
        <v>30</v>
      </c>
      <c r="H116" s="30">
        <v>350</v>
      </c>
      <c r="I116" s="19">
        <f t="shared" si="2"/>
        <v>10500</v>
      </c>
    </row>
    <row r="117" spans="1:9" x14ac:dyDescent="0.3">
      <c r="A117" s="28" t="s">
        <v>31</v>
      </c>
      <c r="B117" s="28"/>
      <c r="C117" s="28"/>
      <c r="D117" s="29">
        <f t="shared" si="3"/>
        <v>0</v>
      </c>
      <c r="E117" s="28"/>
      <c r="F117" s="28"/>
      <c r="G117" s="29">
        <f t="shared" si="4"/>
        <v>0</v>
      </c>
      <c r="H117" s="31"/>
      <c r="I117" s="19">
        <f t="shared" ref="I117:I206" si="5">G117*H117</f>
        <v>0</v>
      </c>
    </row>
    <row r="118" spans="1:9" x14ac:dyDescent="0.3">
      <c r="A118" s="28" t="s">
        <v>82</v>
      </c>
      <c r="B118" s="28">
        <v>20</v>
      </c>
      <c r="C118" s="28"/>
      <c r="D118" s="29">
        <f t="shared" si="3"/>
        <v>20</v>
      </c>
      <c r="E118" s="28"/>
      <c r="F118" s="28">
        <v>20</v>
      </c>
      <c r="G118" s="29">
        <f t="shared" si="4"/>
        <v>0</v>
      </c>
      <c r="H118" s="30">
        <v>170</v>
      </c>
      <c r="I118" s="19">
        <f t="shared" si="5"/>
        <v>0</v>
      </c>
    </row>
    <row r="119" spans="1:9" x14ac:dyDescent="0.3">
      <c r="A119" s="28" t="s">
        <v>84</v>
      </c>
      <c r="B119" s="28">
        <v>20</v>
      </c>
      <c r="C119" s="28"/>
      <c r="D119" s="29">
        <f t="shared" si="3"/>
        <v>20</v>
      </c>
      <c r="E119" s="28"/>
      <c r="F119" s="28">
        <v>15</v>
      </c>
      <c r="G119" s="29">
        <f t="shared" si="4"/>
        <v>5</v>
      </c>
      <c r="H119" s="30">
        <v>450</v>
      </c>
      <c r="I119" s="19">
        <f t="shared" si="5"/>
        <v>2250</v>
      </c>
    </row>
    <row r="120" spans="1:9" x14ac:dyDescent="0.3">
      <c r="A120" s="28" t="s">
        <v>91</v>
      </c>
      <c r="B120" s="28"/>
      <c r="C120" s="28"/>
      <c r="D120" s="29">
        <f t="shared" si="3"/>
        <v>0</v>
      </c>
      <c r="E120" s="28"/>
      <c r="F120" s="28"/>
      <c r="G120" s="29">
        <f t="shared" si="4"/>
        <v>0</v>
      </c>
      <c r="H120" s="31">
        <v>150</v>
      </c>
      <c r="I120" s="19">
        <f t="shared" si="5"/>
        <v>0</v>
      </c>
    </row>
    <row r="121" spans="1:9" x14ac:dyDescent="0.3">
      <c r="A121" s="28" t="s">
        <v>83</v>
      </c>
      <c r="B121" s="28"/>
      <c r="C121" s="28"/>
      <c r="D121" s="29">
        <f t="shared" si="3"/>
        <v>0</v>
      </c>
      <c r="E121" s="28"/>
      <c r="F121" s="28"/>
      <c r="G121" s="29">
        <f t="shared" si="4"/>
        <v>0</v>
      </c>
      <c r="H121" s="31">
        <v>200</v>
      </c>
      <c r="I121" s="19">
        <f t="shared" si="5"/>
        <v>0</v>
      </c>
    </row>
    <row r="122" spans="1:9" x14ac:dyDescent="0.3">
      <c r="A122" s="28" t="s">
        <v>204</v>
      </c>
      <c r="B122" s="28">
        <v>10</v>
      </c>
      <c r="C122" s="28"/>
      <c r="D122" s="29">
        <f t="shared" si="3"/>
        <v>10</v>
      </c>
      <c r="E122" s="28"/>
      <c r="F122" s="28"/>
      <c r="G122" s="29">
        <f t="shared" si="4"/>
        <v>10</v>
      </c>
      <c r="H122" s="31">
        <v>300</v>
      </c>
      <c r="I122" s="19">
        <f t="shared" si="5"/>
        <v>3000</v>
      </c>
    </row>
    <row r="123" spans="1:9" x14ac:dyDescent="0.3">
      <c r="A123" s="28" t="s">
        <v>94</v>
      </c>
      <c r="B123" s="28"/>
      <c r="C123" s="28"/>
      <c r="D123" s="29">
        <f t="shared" si="3"/>
        <v>0</v>
      </c>
      <c r="E123" s="28"/>
      <c r="F123" s="28"/>
      <c r="G123" s="29">
        <f t="shared" si="4"/>
        <v>0</v>
      </c>
      <c r="H123" s="31">
        <v>400</v>
      </c>
      <c r="I123" s="19">
        <f t="shared" si="5"/>
        <v>0</v>
      </c>
    </row>
    <row r="124" spans="1:9" x14ac:dyDescent="0.3">
      <c r="A124" s="28" t="s">
        <v>49</v>
      </c>
      <c r="B124" s="28"/>
      <c r="C124" s="28">
        <v>11</v>
      </c>
      <c r="D124" s="29">
        <f t="shared" si="3"/>
        <v>11</v>
      </c>
      <c r="E124" s="28"/>
      <c r="F124" s="28">
        <v>10</v>
      </c>
      <c r="G124" s="29">
        <f t="shared" si="4"/>
        <v>1</v>
      </c>
      <c r="H124" s="30">
        <v>1000</v>
      </c>
      <c r="I124" s="19">
        <f t="shared" si="5"/>
        <v>1000</v>
      </c>
    </row>
    <row r="125" spans="1:9" x14ac:dyDescent="0.3">
      <c r="A125" s="28" t="s">
        <v>123</v>
      </c>
      <c r="B125" s="28">
        <v>18</v>
      </c>
      <c r="C125" s="28"/>
      <c r="D125" s="29">
        <f t="shared" si="3"/>
        <v>18</v>
      </c>
      <c r="E125" s="28"/>
      <c r="F125" s="28">
        <v>17</v>
      </c>
      <c r="G125" s="29">
        <f t="shared" si="4"/>
        <v>1</v>
      </c>
      <c r="H125" s="30">
        <v>1400</v>
      </c>
      <c r="I125" s="19">
        <f t="shared" si="5"/>
        <v>1400</v>
      </c>
    </row>
    <row r="126" spans="1:9" x14ac:dyDescent="0.3">
      <c r="A126" s="28" t="s">
        <v>218</v>
      </c>
      <c r="B126" s="28"/>
      <c r="C126" s="28"/>
      <c r="D126" s="29">
        <f t="shared" si="3"/>
        <v>0</v>
      </c>
      <c r="E126" s="28"/>
      <c r="F126" s="28"/>
      <c r="G126" s="29">
        <f t="shared" si="4"/>
        <v>0</v>
      </c>
      <c r="H126" s="30"/>
      <c r="I126" s="19">
        <f t="shared" si="5"/>
        <v>0</v>
      </c>
    </row>
    <row r="127" spans="1:9" x14ac:dyDescent="0.3">
      <c r="A127" s="28" t="s">
        <v>219</v>
      </c>
      <c r="B127" s="28"/>
      <c r="C127" s="28"/>
      <c r="D127" s="29">
        <f t="shared" si="3"/>
        <v>0</v>
      </c>
      <c r="E127" s="28"/>
      <c r="F127" s="28"/>
      <c r="G127" s="29">
        <f t="shared" si="4"/>
        <v>0</v>
      </c>
      <c r="H127" s="30"/>
      <c r="I127" s="19">
        <f t="shared" si="5"/>
        <v>0</v>
      </c>
    </row>
    <row r="128" spans="1:9" x14ac:dyDescent="0.3">
      <c r="A128" s="28" t="s">
        <v>175</v>
      </c>
      <c r="B128" s="28"/>
      <c r="C128" s="28"/>
      <c r="D128" s="29">
        <f t="shared" si="3"/>
        <v>0</v>
      </c>
      <c r="E128" s="28"/>
      <c r="F128" s="28"/>
      <c r="G128" s="29">
        <f t="shared" si="4"/>
        <v>0</v>
      </c>
      <c r="H128" s="30"/>
      <c r="I128" s="19">
        <f t="shared" si="5"/>
        <v>0</v>
      </c>
    </row>
    <row r="129" spans="1:9" x14ac:dyDescent="0.3">
      <c r="A129" s="28" t="s">
        <v>176</v>
      </c>
      <c r="B129" s="28"/>
      <c r="C129" s="28"/>
      <c r="D129" s="29">
        <f t="shared" si="3"/>
        <v>0</v>
      </c>
      <c r="E129" s="28"/>
      <c r="F129" s="28"/>
      <c r="G129" s="29">
        <f t="shared" si="4"/>
        <v>0</v>
      </c>
      <c r="H129" s="30"/>
      <c r="I129" s="19">
        <f t="shared" si="5"/>
        <v>0</v>
      </c>
    </row>
    <row r="130" spans="1:9" x14ac:dyDescent="0.3">
      <c r="A130" s="28" t="s">
        <v>180</v>
      </c>
      <c r="B130" s="28">
        <v>15</v>
      </c>
      <c r="C130" s="28"/>
      <c r="D130" s="29">
        <f t="shared" si="3"/>
        <v>15</v>
      </c>
      <c r="E130" s="28"/>
      <c r="F130" s="28"/>
      <c r="G130" s="29">
        <f t="shared" si="4"/>
        <v>15</v>
      </c>
      <c r="H130" s="30">
        <v>120</v>
      </c>
      <c r="I130" s="19">
        <f t="shared" si="5"/>
        <v>1800</v>
      </c>
    </row>
    <row r="131" spans="1:9" x14ac:dyDescent="0.3">
      <c r="A131" s="28" t="s">
        <v>182</v>
      </c>
      <c r="B131" s="28"/>
      <c r="C131" s="28"/>
      <c r="D131" s="29">
        <f t="shared" si="3"/>
        <v>0</v>
      </c>
      <c r="E131" s="28"/>
      <c r="F131" s="28"/>
      <c r="G131" s="29">
        <f t="shared" si="4"/>
        <v>0</v>
      </c>
      <c r="H131" s="30">
        <v>1000</v>
      </c>
      <c r="I131" s="19">
        <f t="shared" si="5"/>
        <v>0</v>
      </c>
    </row>
    <row r="132" spans="1:9" x14ac:dyDescent="0.3">
      <c r="A132" s="28" t="s">
        <v>183</v>
      </c>
      <c r="B132" s="28"/>
      <c r="C132" s="28"/>
      <c r="D132" s="29">
        <f t="shared" si="3"/>
        <v>0</v>
      </c>
      <c r="E132" s="28"/>
      <c r="F132" s="28"/>
      <c r="G132" s="29">
        <f t="shared" si="4"/>
        <v>0</v>
      </c>
      <c r="H132" s="30">
        <v>500</v>
      </c>
      <c r="I132" s="19">
        <f t="shared" si="5"/>
        <v>0</v>
      </c>
    </row>
    <row r="133" spans="1:9" x14ac:dyDescent="0.3">
      <c r="A133" s="28" t="s">
        <v>184</v>
      </c>
      <c r="B133" s="28">
        <v>10</v>
      </c>
      <c r="C133" s="28"/>
      <c r="D133" s="29">
        <f t="shared" si="3"/>
        <v>10</v>
      </c>
      <c r="E133" s="28"/>
      <c r="F133" s="28">
        <v>3</v>
      </c>
      <c r="G133" s="29">
        <f t="shared" si="4"/>
        <v>7</v>
      </c>
      <c r="H133" s="30">
        <v>450</v>
      </c>
      <c r="I133" s="19">
        <f t="shared" si="5"/>
        <v>3150</v>
      </c>
    </row>
    <row r="134" spans="1:9" x14ac:dyDescent="0.3">
      <c r="A134" s="28" t="s">
        <v>187</v>
      </c>
      <c r="B134" s="28"/>
      <c r="C134" s="28"/>
      <c r="D134" s="29">
        <f t="shared" si="3"/>
        <v>0</v>
      </c>
      <c r="E134" s="28"/>
      <c r="F134" s="28"/>
      <c r="G134" s="29">
        <f t="shared" si="4"/>
        <v>0</v>
      </c>
      <c r="H134" s="30"/>
      <c r="I134" s="19">
        <f t="shared" si="5"/>
        <v>0</v>
      </c>
    </row>
    <row r="135" spans="1:9" x14ac:dyDescent="0.3">
      <c r="A135" s="28" t="s">
        <v>188</v>
      </c>
      <c r="B135" s="28">
        <v>11</v>
      </c>
      <c r="C135" s="28"/>
      <c r="D135" s="29">
        <f t="shared" si="3"/>
        <v>11</v>
      </c>
      <c r="E135" s="28"/>
      <c r="F135" s="28">
        <v>10</v>
      </c>
      <c r="G135" s="29">
        <f t="shared" si="4"/>
        <v>1</v>
      </c>
      <c r="H135" s="30">
        <v>225</v>
      </c>
      <c r="I135" s="19">
        <f t="shared" si="5"/>
        <v>225</v>
      </c>
    </row>
    <row r="136" spans="1:9" x14ac:dyDescent="0.3">
      <c r="A136" s="28" t="s">
        <v>240</v>
      </c>
      <c r="B136" s="28"/>
      <c r="C136" s="28"/>
      <c r="D136" s="29">
        <f t="shared" si="3"/>
        <v>0</v>
      </c>
      <c r="E136" s="28"/>
      <c r="F136" s="28"/>
      <c r="G136" s="29">
        <f t="shared" si="4"/>
        <v>0</v>
      </c>
      <c r="H136" s="30">
        <v>700</v>
      </c>
      <c r="I136" s="19">
        <f t="shared" si="5"/>
        <v>0</v>
      </c>
    </row>
    <row r="137" spans="1:9" x14ac:dyDescent="0.3">
      <c r="A137" s="28" t="s">
        <v>198</v>
      </c>
      <c r="B137" s="28">
        <v>100</v>
      </c>
      <c r="C137" s="28"/>
      <c r="D137" s="29">
        <f t="shared" si="3"/>
        <v>100</v>
      </c>
      <c r="E137" s="28"/>
      <c r="F137" s="28">
        <v>10</v>
      </c>
      <c r="G137" s="29">
        <f t="shared" si="4"/>
        <v>90</v>
      </c>
      <c r="H137" s="30">
        <v>610</v>
      </c>
      <c r="I137" s="19">
        <f t="shared" si="5"/>
        <v>54900</v>
      </c>
    </row>
    <row r="138" spans="1:9" x14ac:dyDescent="0.3">
      <c r="A138" s="28" t="s">
        <v>241</v>
      </c>
      <c r="B138" s="28"/>
      <c r="C138" s="28">
        <v>3</v>
      </c>
      <c r="D138" s="29">
        <f t="shared" si="3"/>
        <v>3</v>
      </c>
      <c r="E138" s="28"/>
      <c r="F138" s="28">
        <v>2</v>
      </c>
      <c r="G138" s="29">
        <f t="shared" si="4"/>
        <v>1</v>
      </c>
      <c r="H138" s="30">
        <v>200</v>
      </c>
      <c r="I138" s="19">
        <f t="shared" si="5"/>
        <v>200</v>
      </c>
    </row>
    <row r="139" spans="1:9" x14ac:dyDescent="0.3">
      <c r="A139" s="28" t="s">
        <v>246</v>
      </c>
      <c r="B139" s="28"/>
      <c r="C139" s="28"/>
      <c r="D139" s="29">
        <f t="shared" si="3"/>
        <v>0</v>
      </c>
      <c r="E139" s="28"/>
      <c r="F139" s="28"/>
      <c r="G139" s="29">
        <f t="shared" si="4"/>
        <v>0</v>
      </c>
      <c r="H139" s="30">
        <v>1500</v>
      </c>
      <c r="I139" s="19">
        <f t="shared" si="5"/>
        <v>0</v>
      </c>
    </row>
    <row r="140" spans="1:9" x14ac:dyDescent="0.3">
      <c r="A140" s="28" t="s">
        <v>259</v>
      </c>
      <c r="B140" s="28"/>
      <c r="C140" s="28"/>
      <c r="D140" s="29">
        <f t="shared" si="3"/>
        <v>0</v>
      </c>
      <c r="E140" s="28"/>
      <c r="F140" s="28"/>
      <c r="G140" s="29">
        <f t="shared" si="4"/>
        <v>0</v>
      </c>
      <c r="H140" s="30"/>
      <c r="I140" s="19">
        <f t="shared" si="5"/>
        <v>0</v>
      </c>
    </row>
    <row r="141" spans="1:9" x14ac:dyDescent="0.3">
      <c r="A141" s="28" t="s">
        <v>286</v>
      </c>
      <c r="B141" s="28"/>
      <c r="C141" s="28"/>
      <c r="D141" s="29">
        <f t="shared" si="3"/>
        <v>0</v>
      </c>
      <c r="E141" s="28"/>
      <c r="F141" s="28"/>
      <c r="G141" s="29">
        <f t="shared" si="4"/>
        <v>0</v>
      </c>
      <c r="H141" s="30">
        <v>100</v>
      </c>
      <c r="I141" s="19">
        <f t="shared" si="5"/>
        <v>0</v>
      </c>
    </row>
    <row r="142" spans="1:9" x14ac:dyDescent="0.3">
      <c r="A142" s="28" t="s">
        <v>327</v>
      </c>
      <c r="B142" s="28"/>
      <c r="C142" s="28">
        <v>20</v>
      </c>
      <c r="D142" s="29">
        <f t="shared" si="3"/>
        <v>20</v>
      </c>
      <c r="E142" s="28"/>
      <c r="F142" s="28"/>
      <c r="G142" s="29">
        <f t="shared" si="4"/>
        <v>20</v>
      </c>
      <c r="H142" s="30">
        <v>2200</v>
      </c>
      <c r="I142" s="19">
        <f t="shared" si="5"/>
        <v>44000</v>
      </c>
    </row>
    <row r="143" spans="1:9" x14ac:dyDescent="0.3">
      <c r="A143" s="28"/>
      <c r="B143" s="28"/>
      <c r="C143" s="28"/>
      <c r="D143" s="29"/>
      <c r="E143" s="28"/>
      <c r="F143" s="28"/>
      <c r="G143" s="29"/>
      <c r="H143" s="30"/>
      <c r="I143" s="19"/>
    </row>
    <row r="144" spans="1:9" x14ac:dyDescent="0.3">
      <c r="A144" s="24" t="s">
        <v>32</v>
      </c>
      <c r="B144" s="28"/>
      <c r="C144" s="28"/>
      <c r="D144" s="29">
        <f t="shared" si="3"/>
        <v>0</v>
      </c>
      <c r="E144" s="28"/>
      <c r="F144" s="28"/>
      <c r="G144" s="29">
        <f t="shared" si="4"/>
        <v>0</v>
      </c>
      <c r="H144" s="30"/>
      <c r="I144" s="19">
        <f t="shared" si="5"/>
        <v>0</v>
      </c>
    </row>
    <row r="145" spans="1:9" x14ac:dyDescent="0.3">
      <c r="A145" s="28" t="s">
        <v>33</v>
      </c>
      <c r="B145" s="28">
        <v>800</v>
      </c>
      <c r="C145" s="28"/>
      <c r="D145" s="29">
        <f t="shared" si="3"/>
        <v>800</v>
      </c>
      <c r="E145" s="28"/>
      <c r="F145" s="28">
        <v>80</v>
      </c>
      <c r="G145" s="29">
        <f t="shared" si="4"/>
        <v>720</v>
      </c>
      <c r="H145" s="30">
        <v>60</v>
      </c>
      <c r="I145" s="19">
        <f t="shared" si="5"/>
        <v>43200</v>
      </c>
    </row>
    <row r="146" spans="1:9" x14ac:dyDescent="0.3">
      <c r="A146" s="28" t="s">
        <v>34</v>
      </c>
      <c r="B146" s="28">
        <v>100</v>
      </c>
      <c r="C146" s="28"/>
      <c r="D146" s="29">
        <f t="shared" si="3"/>
        <v>100</v>
      </c>
      <c r="E146" s="28"/>
      <c r="F146" s="28"/>
      <c r="G146" s="29">
        <f t="shared" si="4"/>
        <v>100</v>
      </c>
      <c r="H146" s="30">
        <v>10</v>
      </c>
      <c r="I146" s="19">
        <f t="shared" si="5"/>
        <v>1000</v>
      </c>
    </row>
    <row r="147" spans="1:9" x14ac:dyDescent="0.3">
      <c r="A147" s="28" t="s">
        <v>122</v>
      </c>
      <c r="B147" s="28"/>
      <c r="C147" s="28">
        <v>50</v>
      </c>
      <c r="D147" s="29">
        <f t="shared" si="3"/>
        <v>50</v>
      </c>
      <c r="E147" s="28"/>
      <c r="F147" s="28">
        <v>40</v>
      </c>
      <c r="G147" s="29">
        <f t="shared" si="4"/>
        <v>10</v>
      </c>
      <c r="H147" s="30">
        <v>150</v>
      </c>
      <c r="I147" s="19">
        <f t="shared" si="5"/>
        <v>1500</v>
      </c>
    </row>
    <row r="148" spans="1:9" x14ac:dyDescent="0.3">
      <c r="A148" s="28" t="s">
        <v>143</v>
      </c>
      <c r="B148" s="28"/>
      <c r="C148" s="28">
        <v>50</v>
      </c>
      <c r="D148" s="29">
        <f t="shared" si="3"/>
        <v>50</v>
      </c>
      <c r="E148" s="28"/>
      <c r="F148" s="28">
        <v>40</v>
      </c>
      <c r="G148" s="29">
        <f t="shared" si="4"/>
        <v>10</v>
      </c>
      <c r="H148" s="30">
        <v>900</v>
      </c>
      <c r="I148" s="19">
        <f t="shared" si="5"/>
        <v>9000</v>
      </c>
    </row>
    <row r="149" spans="1:9" x14ac:dyDescent="0.3">
      <c r="A149" s="28" t="s">
        <v>151</v>
      </c>
      <c r="B149" s="28"/>
      <c r="C149" s="28"/>
      <c r="D149" s="29">
        <f t="shared" si="3"/>
        <v>0</v>
      </c>
      <c r="E149" s="28"/>
      <c r="F149" s="28"/>
      <c r="G149" s="29">
        <f t="shared" si="4"/>
        <v>0</v>
      </c>
      <c r="H149" s="30">
        <v>30</v>
      </c>
      <c r="I149" s="19">
        <f t="shared" si="5"/>
        <v>0</v>
      </c>
    </row>
    <row r="150" spans="1:9" x14ac:dyDescent="0.3">
      <c r="A150" s="28" t="s">
        <v>186</v>
      </c>
      <c r="B150" s="28"/>
      <c r="C150" s="28"/>
      <c r="D150" s="29">
        <f t="shared" si="3"/>
        <v>0</v>
      </c>
      <c r="E150" s="28"/>
      <c r="F150" s="28"/>
      <c r="G150" s="29">
        <f t="shared" si="4"/>
        <v>0</v>
      </c>
      <c r="H150" s="30"/>
      <c r="I150" s="19">
        <f t="shared" si="5"/>
        <v>0</v>
      </c>
    </row>
    <row r="151" spans="1:9" x14ac:dyDescent="0.3">
      <c r="A151" s="28" t="s">
        <v>207</v>
      </c>
      <c r="B151" s="28"/>
      <c r="C151" s="28"/>
      <c r="D151" s="29">
        <f t="shared" si="3"/>
        <v>0</v>
      </c>
      <c r="E151" s="28"/>
      <c r="F151" s="28"/>
      <c r="G151" s="29">
        <f t="shared" si="4"/>
        <v>0</v>
      </c>
      <c r="H151" s="30">
        <v>850</v>
      </c>
      <c r="I151" s="19">
        <f t="shared" si="5"/>
        <v>0</v>
      </c>
    </row>
    <row r="152" spans="1:9" x14ac:dyDescent="0.3">
      <c r="A152" s="28" t="s">
        <v>44</v>
      </c>
      <c r="B152" s="28">
        <v>100</v>
      </c>
      <c r="C152" s="28"/>
      <c r="D152" s="29">
        <f t="shared" si="3"/>
        <v>100</v>
      </c>
      <c r="E152" s="28"/>
      <c r="F152" s="28">
        <v>50</v>
      </c>
      <c r="G152" s="29">
        <f t="shared" si="4"/>
        <v>50</v>
      </c>
      <c r="H152" s="30">
        <v>25</v>
      </c>
      <c r="I152" s="19">
        <f t="shared" si="5"/>
        <v>1250</v>
      </c>
    </row>
    <row r="153" spans="1:9" x14ac:dyDescent="0.3">
      <c r="A153" s="28" t="s">
        <v>264</v>
      </c>
      <c r="B153" s="28">
        <v>50</v>
      </c>
      <c r="C153" s="28"/>
      <c r="D153" s="29">
        <f t="shared" si="3"/>
        <v>50</v>
      </c>
      <c r="E153" s="28"/>
      <c r="F153" s="28">
        <v>40</v>
      </c>
      <c r="G153" s="29"/>
      <c r="H153" s="30">
        <v>5</v>
      </c>
      <c r="I153" s="19">
        <f t="shared" si="5"/>
        <v>0</v>
      </c>
    </row>
    <row r="154" spans="1:9" x14ac:dyDescent="0.3">
      <c r="A154" s="28" t="s">
        <v>346</v>
      </c>
      <c r="B154" s="28"/>
      <c r="C154" s="28"/>
      <c r="D154" s="29">
        <f t="shared" si="3"/>
        <v>0</v>
      </c>
      <c r="E154" s="28"/>
      <c r="F154" s="28"/>
      <c r="G154" s="29">
        <f t="shared" si="4"/>
        <v>0</v>
      </c>
      <c r="H154" s="30">
        <v>900</v>
      </c>
      <c r="I154" s="19">
        <f t="shared" si="5"/>
        <v>0</v>
      </c>
    </row>
    <row r="155" spans="1:9" x14ac:dyDescent="0.3">
      <c r="A155" s="24" t="s">
        <v>35</v>
      </c>
      <c r="B155" s="28"/>
      <c r="C155" s="28"/>
      <c r="D155" s="29">
        <f t="shared" ref="D155:D220" si="6">B155+C155</f>
        <v>0</v>
      </c>
      <c r="E155" s="28"/>
      <c r="F155" s="28"/>
      <c r="G155" s="29">
        <f t="shared" si="4"/>
        <v>0</v>
      </c>
      <c r="H155" s="30"/>
      <c r="I155" s="19">
        <f t="shared" si="5"/>
        <v>0</v>
      </c>
    </row>
    <row r="156" spans="1:9" x14ac:dyDescent="0.3">
      <c r="A156" s="28" t="s">
        <v>220</v>
      </c>
      <c r="B156" s="28">
        <v>500</v>
      </c>
      <c r="C156" s="28"/>
      <c r="D156" s="29">
        <f t="shared" si="6"/>
        <v>500</v>
      </c>
      <c r="E156" s="28"/>
      <c r="F156" s="28">
        <v>80</v>
      </c>
      <c r="G156" s="29">
        <f t="shared" si="4"/>
        <v>420</v>
      </c>
      <c r="H156" s="30">
        <v>70</v>
      </c>
      <c r="I156" s="19">
        <f t="shared" si="5"/>
        <v>29400</v>
      </c>
    </row>
    <row r="157" spans="1:9" x14ac:dyDescent="0.3">
      <c r="A157" s="28" t="s">
        <v>81</v>
      </c>
      <c r="B157" s="28"/>
      <c r="C157" s="28"/>
      <c r="D157" s="29">
        <f t="shared" si="6"/>
        <v>0</v>
      </c>
      <c r="E157" s="28"/>
      <c r="F157" s="28"/>
      <c r="G157" s="29">
        <f t="shared" si="4"/>
        <v>0</v>
      </c>
      <c r="H157" s="30">
        <v>70</v>
      </c>
      <c r="I157" s="19">
        <f t="shared" si="5"/>
        <v>0</v>
      </c>
    </row>
    <row r="158" spans="1:9" x14ac:dyDescent="0.3">
      <c r="A158" s="28" t="s">
        <v>36</v>
      </c>
      <c r="B158" s="28"/>
      <c r="C158" s="28"/>
      <c r="D158" s="29">
        <f t="shared" si="6"/>
        <v>0</v>
      </c>
      <c r="E158" s="28"/>
      <c r="F158" s="28"/>
      <c r="G158" s="29">
        <f t="shared" si="4"/>
        <v>0</v>
      </c>
      <c r="H158" s="30"/>
      <c r="I158" s="19">
        <f t="shared" si="5"/>
        <v>0</v>
      </c>
    </row>
    <row r="159" spans="1:9" x14ac:dyDescent="0.3">
      <c r="A159" s="28" t="s">
        <v>37</v>
      </c>
      <c r="B159" s="28">
        <v>1000</v>
      </c>
      <c r="C159" s="28"/>
      <c r="D159" s="29">
        <f t="shared" si="6"/>
        <v>1000</v>
      </c>
      <c r="E159" s="28"/>
      <c r="F159" s="28">
        <v>300</v>
      </c>
      <c r="G159" s="29">
        <f t="shared" si="4"/>
        <v>700</v>
      </c>
      <c r="H159" s="30">
        <v>12</v>
      </c>
      <c r="I159" s="19">
        <f t="shared" si="5"/>
        <v>8400</v>
      </c>
    </row>
    <row r="160" spans="1:9" x14ac:dyDescent="0.3">
      <c r="A160" s="28" t="s">
        <v>69</v>
      </c>
      <c r="B160" s="28"/>
      <c r="C160" s="28"/>
      <c r="D160" s="29">
        <f t="shared" si="6"/>
        <v>0</v>
      </c>
      <c r="E160" s="28"/>
      <c r="F160" s="28"/>
      <c r="G160" s="29">
        <f t="shared" si="4"/>
        <v>0</v>
      </c>
      <c r="H160" s="31"/>
      <c r="I160" s="19">
        <f t="shared" si="5"/>
        <v>0</v>
      </c>
    </row>
    <row r="161" spans="1:9" x14ac:dyDescent="0.3">
      <c r="A161" s="28" t="s">
        <v>240</v>
      </c>
      <c r="B161" s="28"/>
      <c r="C161" s="28"/>
      <c r="D161" s="29">
        <f t="shared" si="6"/>
        <v>0</v>
      </c>
      <c r="E161" s="28"/>
      <c r="F161" s="28"/>
      <c r="G161" s="29">
        <f t="shared" si="4"/>
        <v>0</v>
      </c>
      <c r="H161" s="30">
        <v>700</v>
      </c>
      <c r="I161" s="19">
        <f t="shared" si="5"/>
        <v>0</v>
      </c>
    </row>
    <row r="162" spans="1:9" x14ac:dyDescent="0.3">
      <c r="A162" s="28"/>
      <c r="B162" s="28"/>
      <c r="C162" s="28"/>
      <c r="D162" s="29">
        <f t="shared" si="6"/>
        <v>0</v>
      </c>
      <c r="E162" s="28"/>
      <c r="F162" s="28"/>
      <c r="G162" s="29">
        <f t="shared" si="4"/>
        <v>0</v>
      </c>
      <c r="H162" s="30"/>
      <c r="I162" s="19"/>
    </row>
    <row r="163" spans="1:9" x14ac:dyDescent="0.3">
      <c r="A163" s="24" t="s">
        <v>320</v>
      </c>
      <c r="B163" s="28"/>
      <c r="C163" s="28"/>
      <c r="D163" s="29">
        <f t="shared" si="6"/>
        <v>0</v>
      </c>
      <c r="E163" s="28"/>
      <c r="F163" s="28"/>
      <c r="G163" s="29">
        <f t="shared" si="4"/>
        <v>0</v>
      </c>
      <c r="H163" s="30"/>
      <c r="I163" s="19"/>
    </row>
    <row r="164" spans="1:9" x14ac:dyDescent="0.3">
      <c r="A164" s="28" t="s">
        <v>51</v>
      </c>
      <c r="B164" s="28">
        <v>5</v>
      </c>
      <c r="C164" s="28"/>
      <c r="D164" s="29">
        <f t="shared" si="6"/>
        <v>5</v>
      </c>
      <c r="E164" s="28"/>
      <c r="F164" s="28"/>
      <c r="G164" s="29">
        <f t="shared" si="4"/>
        <v>5</v>
      </c>
      <c r="H164" s="30">
        <v>150</v>
      </c>
      <c r="I164" s="19">
        <f t="shared" si="5"/>
        <v>750</v>
      </c>
    </row>
    <row r="165" spans="1:9" x14ac:dyDescent="0.3">
      <c r="A165" s="28"/>
      <c r="B165" s="28"/>
      <c r="C165" s="28"/>
      <c r="D165" s="29">
        <f t="shared" si="6"/>
        <v>0</v>
      </c>
      <c r="E165" s="28"/>
      <c r="F165" s="28"/>
      <c r="G165" s="29">
        <f t="shared" si="4"/>
        <v>0</v>
      </c>
      <c r="H165" s="30"/>
      <c r="I165" s="19">
        <f t="shared" si="5"/>
        <v>0</v>
      </c>
    </row>
    <row r="166" spans="1:9" x14ac:dyDescent="0.3">
      <c r="A166" s="24" t="s">
        <v>70</v>
      </c>
      <c r="B166" s="28"/>
      <c r="C166" s="28"/>
      <c r="D166" s="29">
        <f t="shared" si="6"/>
        <v>0</v>
      </c>
      <c r="E166" s="28"/>
      <c r="F166" s="28"/>
      <c r="G166" s="29">
        <f t="shared" si="4"/>
        <v>0</v>
      </c>
      <c r="H166" s="30"/>
      <c r="I166" s="19">
        <f t="shared" si="5"/>
        <v>0</v>
      </c>
    </row>
    <row r="167" spans="1:9" x14ac:dyDescent="0.3">
      <c r="A167" s="28" t="s">
        <v>248</v>
      </c>
      <c r="B167" s="28">
        <v>2</v>
      </c>
      <c r="C167" s="28"/>
      <c r="D167" s="29">
        <f t="shared" si="6"/>
        <v>2</v>
      </c>
      <c r="E167" s="28"/>
      <c r="F167" s="28"/>
      <c r="G167" s="29">
        <f t="shared" si="4"/>
        <v>2</v>
      </c>
      <c r="H167" s="30">
        <v>700</v>
      </c>
      <c r="I167" s="19">
        <f t="shared" si="5"/>
        <v>1400</v>
      </c>
    </row>
    <row r="168" spans="1:9" x14ac:dyDescent="0.3">
      <c r="A168" s="28" t="s">
        <v>249</v>
      </c>
      <c r="B168" s="28">
        <v>30</v>
      </c>
      <c r="C168" s="28"/>
      <c r="D168" s="29">
        <f t="shared" si="6"/>
        <v>30</v>
      </c>
      <c r="E168" s="28"/>
      <c r="F168" s="28">
        <v>30</v>
      </c>
      <c r="G168" s="29">
        <f t="shared" si="4"/>
        <v>0</v>
      </c>
      <c r="H168" s="30">
        <v>650</v>
      </c>
      <c r="I168" s="19">
        <f t="shared" si="5"/>
        <v>0</v>
      </c>
    </row>
    <row r="169" spans="1:9" x14ac:dyDescent="0.3">
      <c r="A169" s="28" t="s">
        <v>38</v>
      </c>
      <c r="B169" s="28"/>
      <c r="C169" s="28">
        <v>600</v>
      </c>
      <c r="D169" s="29">
        <f t="shared" si="6"/>
        <v>600</v>
      </c>
      <c r="E169" s="28"/>
      <c r="F169" s="28">
        <v>590</v>
      </c>
      <c r="G169" s="29">
        <f t="shared" si="4"/>
        <v>10</v>
      </c>
      <c r="H169" s="30">
        <v>450</v>
      </c>
      <c r="I169" s="19">
        <f t="shared" si="5"/>
        <v>4500</v>
      </c>
    </row>
    <row r="170" spans="1:9" x14ac:dyDescent="0.3">
      <c r="A170" s="28" t="s">
        <v>39</v>
      </c>
      <c r="B170" s="28"/>
      <c r="C170" s="28"/>
      <c r="D170" s="29">
        <f t="shared" si="6"/>
        <v>0</v>
      </c>
      <c r="E170" s="28"/>
      <c r="F170" s="28"/>
      <c r="G170" s="29">
        <f t="shared" si="4"/>
        <v>0</v>
      </c>
      <c r="H170" s="30">
        <v>9</v>
      </c>
      <c r="I170" s="19">
        <f t="shared" si="5"/>
        <v>0</v>
      </c>
    </row>
    <row r="171" spans="1:9" x14ac:dyDescent="0.3">
      <c r="A171" s="28" t="s">
        <v>40</v>
      </c>
      <c r="B171" s="28"/>
      <c r="C171" s="28"/>
      <c r="D171" s="29">
        <f t="shared" si="6"/>
        <v>0</v>
      </c>
      <c r="E171" s="28"/>
      <c r="F171" s="28"/>
      <c r="G171" s="29">
        <f t="shared" si="4"/>
        <v>0</v>
      </c>
      <c r="H171" s="30">
        <v>700</v>
      </c>
      <c r="I171" s="19">
        <f t="shared" si="5"/>
        <v>0</v>
      </c>
    </row>
    <row r="172" spans="1:9" x14ac:dyDescent="0.3">
      <c r="A172" s="28" t="s">
        <v>41</v>
      </c>
      <c r="B172" s="28"/>
      <c r="C172" s="28"/>
      <c r="D172" s="29">
        <f t="shared" si="6"/>
        <v>0</v>
      </c>
      <c r="E172" s="28"/>
      <c r="F172" s="28"/>
      <c r="G172" s="29">
        <f t="shared" si="4"/>
        <v>0</v>
      </c>
      <c r="H172" s="30"/>
      <c r="I172" s="19">
        <f t="shared" si="5"/>
        <v>0</v>
      </c>
    </row>
    <row r="173" spans="1:9" x14ac:dyDescent="0.3">
      <c r="A173" s="28" t="s">
        <v>118</v>
      </c>
      <c r="B173" s="28"/>
      <c r="C173" s="28"/>
      <c r="D173" s="29">
        <f t="shared" si="6"/>
        <v>0</v>
      </c>
      <c r="E173" s="28"/>
      <c r="F173" s="28"/>
      <c r="G173" s="29">
        <f t="shared" si="4"/>
        <v>0</v>
      </c>
      <c r="H173" s="30">
        <v>350</v>
      </c>
      <c r="I173" s="19">
        <f t="shared" si="5"/>
        <v>0</v>
      </c>
    </row>
    <row r="174" spans="1:9" x14ac:dyDescent="0.3">
      <c r="A174" s="28" t="s">
        <v>137</v>
      </c>
      <c r="B174" s="28">
        <v>70</v>
      </c>
      <c r="C174" s="28"/>
      <c r="D174" s="29">
        <f t="shared" si="6"/>
        <v>70</v>
      </c>
      <c r="E174" s="28"/>
      <c r="F174" s="28"/>
      <c r="G174" s="29">
        <f t="shared" si="4"/>
        <v>70</v>
      </c>
      <c r="H174" s="30">
        <v>500</v>
      </c>
      <c r="I174" s="19">
        <f t="shared" si="5"/>
        <v>35000</v>
      </c>
    </row>
    <row r="175" spans="1:9" x14ac:dyDescent="0.3">
      <c r="A175" s="28" t="s">
        <v>201</v>
      </c>
      <c r="B175" s="28">
        <v>10</v>
      </c>
      <c r="C175" s="28"/>
      <c r="D175" s="29">
        <f t="shared" si="6"/>
        <v>10</v>
      </c>
      <c r="E175" s="28"/>
      <c r="F175" s="28"/>
      <c r="G175" s="29">
        <f t="shared" si="4"/>
        <v>10</v>
      </c>
      <c r="H175" s="30">
        <v>350</v>
      </c>
      <c r="I175" s="19">
        <f t="shared" si="5"/>
        <v>3500</v>
      </c>
    </row>
    <row r="176" spans="1:9" x14ac:dyDescent="0.3">
      <c r="A176" s="28" t="s">
        <v>142</v>
      </c>
      <c r="B176" s="28"/>
      <c r="C176" s="28">
        <v>10</v>
      </c>
      <c r="D176" s="29">
        <f t="shared" si="6"/>
        <v>10</v>
      </c>
      <c r="E176" s="28"/>
      <c r="F176" s="28">
        <v>2</v>
      </c>
      <c r="G176" s="29">
        <f t="shared" si="4"/>
        <v>8</v>
      </c>
      <c r="H176" s="30">
        <v>70</v>
      </c>
      <c r="I176" s="19">
        <f t="shared" si="5"/>
        <v>560</v>
      </c>
    </row>
    <row r="177" spans="1:9" x14ac:dyDescent="0.3">
      <c r="A177" s="28" t="s">
        <v>75</v>
      </c>
      <c r="B177" s="28">
        <v>45</v>
      </c>
      <c r="C177" s="28"/>
      <c r="D177" s="29">
        <f t="shared" si="6"/>
        <v>45</v>
      </c>
      <c r="E177" s="28"/>
      <c r="F177" s="28">
        <v>40</v>
      </c>
      <c r="G177" s="29">
        <f t="shared" si="4"/>
        <v>5</v>
      </c>
      <c r="H177" s="30">
        <v>70</v>
      </c>
      <c r="I177" s="19">
        <f t="shared" si="5"/>
        <v>350</v>
      </c>
    </row>
    <row r="178" spans="1:9" x14ac:dyDescent="0.3">
      <c r="A178" s="28" t="s">
        <v>185</v>
      </c>
      <c r="B178" s="28">
        <v>2</v>
      </c>
      <c r="C178" s="28">
        <v>10</v>
      </c>
      <c r="D178" s="29">
        <f t="shared" si="6"/>
        <v>12</v>
      </c>
      <c r="E178" s="28"/>
      <c r="F178" s="28">
        <v>10</v>
      </c>
      <c r="G178" s="29">
        <f t="shared" si="4"/>
        <v>2</v>
      </c>
      <c r="H178" s="30">
        <v>400</v>
      </c>
      <c r="I178" s="19">
        <f t="shared" si="5"/>
        <v>800</v>
      </c>
    </row>
    <row r="179" spans="1:9" x14ac:dyDescent="0.3">
      <c r="A179" s="28" t="s">
        <v>199</v>
      </c>
      <c r="B179" s="28"/>
      <c r="C179" s="28"/>
      <c r="D179" s="29">
        <f t="shared" si="6"/>
        <v>0</v>
      </c>
      <c r="E179" s="28"/>
      <c r="F179" s="28"/>
      <c r="G179" s="29">
        <f t="shared" si="4"/>
        <v>0</v>
      </c>
      <c r="H179" s="30">
        <v>100</v>
      </c>
      <c r="I179" s="19">
        <f t="shared" si="5"/>
        <v>0</v>
      </c>
    </row>
    <row r="180" spans="1:9" x14ac:dyDescent="0.3">
      <c r="A180" s="28" t="s">
        <v>153</v>
      </c>
      <c r="B180" s="28"/>
      <c r="C180" s="28"/>
      <c r="D180" s="29">
        <f t="shared" si="6"/>
        <v>0</v>
      </c>
      <c r="E180" s="28"/>
      <c r="F180" s="28"/>
      <c r="G180" s="29">
        <f t="shared" si="4"/>
        <v>0</v>
      </c>
      <c r="H180" s="30">
        <v>14</v>
      </c>
      <c r="I180" s="19">
        <f t="shared" si="5"/>
        <v>0</v>
      </c>
    </row>
    <row r="181" spans="1:9" x14ac:dyDescent="0.3">
      <c r="A181" s="28" t="s">
        <v>221</v>
      </c>
      <c r="B181" s="28"/>
      <c r="C181" s="28"/>
      <c r="D181" s="29">
        <f t="shared" si="6"/>
        <v>0</v>
      </c>
      <c r="E181" s="28"/>
      <c r="F181" s="28"/>
      <c r="G181" s="29">
        <f t="shared" si="4"/>
        <v>0</v>
      </c>
      <c r="H181" s="30"/>
      <c r="I181" s="19">
        <f t="shared" si="5"/>
        <v>0</v>
      </c>
    </row>
    <row r="182" spans="1:9" x14ac:dyDescent="0.3">
      <c r="A182" s="28" t="s">
        <v>242</v>
      </c>
      <c r="B182" s="28"/>
      <c r="C182" s="28"/>
      <c r="D182" s="29">
        <f t="shared" si="6"/>
        <v>0</v>
      </c>
      <c r="E182" s="28"/>
      <c r="F182" s="28"/>
      <c r="G182" s="29">
        <f t="shared" si="4"/>
        <v>0</v>
      </c>
      <c r="H182" s="30"/>
      <c r="I182" s="19">
        <f t="shared" si="5"/>
        <v>0</v>
      </c>
    </row>
    <row r="183" spans="1:9" x14ac:dyDescent="0.3">
      <c r="A183" s="28" t="s">
        <v>315</v>
      </c>
      <c r="B183" s="28"/>
      <c r="C183" s="28"/>
      <c r="D183" s="29">
        <f t="shared" si="6"/>
        <v>0</v>
      </c>
      <c r="E183" s="28"/>
      <c r="F183" s="28"/>
      <c r="G183" s="29">
        <f t="shared" si="4"/>
        <v>0</v>
      </c>
      <c r="H183" s="30">
        <v>350</v>
      </c>
      <c r="I183" s="19">
        <f t="shared" si="5"/>
        <v>0</v>
      </c>
    </row>
    <row r="184" spans="1:9" x14ac:dyDescent="0.3">
      <c r="A184" s="28" t="s">
        <v>278</v>
      </c>
      <c r="B184" s="28">
        <v>10</v>
      </c>
      <c r="C184" s="28"/>
      <c r="D184" s="29">
        <f t="shared" si="6"/>
        <v>10</v>
      </c>
      <c r="E184" s="28"/>
      <c r="F184" s="28"/>
      <c r="G184" s="29">
        <f t="shared" si="4"/>
        <v>10</v>
      </c>
      <c r="H184" s="30">
        <v>10</v>
      </c>
      <c r="I184" s="19">
        <f t="shared" si="5"/>
        <v>100</v>
      </c>
    </row>
    <row r="185" spans="1:9" x14ac:dyDescent="0.3">
      <c r="A185" s="28" t="s">
        <v>302</v>
      </c>
      <c r="B185" s="28"/>
      <c r="C185" s="28"/>
      <c r="D185" s="29">
        <f t="shared" si="6"/>
        <v>0</v>
      </c>
      <c r="E185" s="28"/>
      <c r="F185" s="28"/>
      <c r="G185" s="29">
        <f t="shared" si="4"/>
        <v>0</v>
      </c>
      <c r="H185" s="30">
        <v>350</v>
      </c>
      <c r="I185" s="19">
        <f t="shared" si="5"/>
        <v>0</v>
      </c>
    </row>
    <row r="186" spans="1:9" x14ac:dyDescent="0.3">
      <c r="A186" s="28" t="s">
        <v>328</v>
      </c>
      <c r="B186" s="28">
        <v>18</v>
      </c>
      <c r="C186" s="28"/>
      <c r="D186" s="29">
        <f t="shared" si="6"/>
        <v>18</v>
      </c>
      <c r="E186" s="28"/>
      <c r="F186" s="28"/>
      <c r="G186" s="29">
        <f t="shared" si="4"/>
        <v>18</v>
      </c>
      <c r="H186" s="30">
        <v>1100</v>
      </c>
      <c r="I186" s="19">
        <f t="shared" si="5"/>
        <v>19800</v>
      </c>
    </row>
    <row r="187" spans="1:9" x14ac:dyDescent="0.3">
      <c r="A187" s="28" t="s">
        <v>329</v>
      </c>
      <c r="B187" s="28">
        <v>6</v>
      </c>
      <c r="C187" s="28"/>
      <c r="D187" s="29">
        <f t="shared" si="6"/>
        <v>6</v>
      </c>
      <c r="E187" s="28"/>
      <c r="F187" s="28"/>
      <c r="G187" s="29">
        <f t="shared" si="4"/>
        <v>6</v>
      </c>
      <c r="H187" s="30">
        <v>700</v>
      </c>
      <c r="I187" s="19">
        <f t="shared" si="5"/>
        <v>4200</v>
      </c>
    </row>
    <row r="188" spans="1:9" x14ac:dyDescent="0.3">
      <c r="A188" s="28" t="s">
        <v>332</v>
      </c>
      <c r="B188" s="28"/>
      <c r="C188" s="28"/>
      <c r="D188" s="29">
        <f t="shared" si="6"/>
        <v>0</v>
      </c>
      <c r="E188" s="28"/>
      <c r="F188" s="28"/>
      <c r="G188" s="29">
        <f t="shared" si="4"/>
        <v>0</v>
      </c>
      <c r="H188" s="30">
        <v>380</v>
      </c>
      <c r="I188" s="19">
        <f t="shared" si="5"/>
        <v>0</v>
      </c>
    </row>
    <row r="189" spans="1:9" x14ac:dyDescent="0.3">
      <c r="A189" s="24" t="s">
        <v>42</v>
      </c>
      <c r="B189" s="28"/>
      <c r="C189" s="28"/>
      <c r="D189" s="29">
        <f t="shared" si="6"/>
        <v>0</v>
      </c>
      <c r="E189" s="28"/>
      <c r="F189" s="28"/>
      <c r="G189" s="29">
        <f t="shared" si="4"/>
        <v>0</v>
      </c>
      <c r="H189" s="30"/>
      <c r="I189" s="19">
        <f t="shared" si="5"/>
        <v>0</v>
      </c>
    </row>
    <row r="190" spans="1:9" x14ac:dyDescent="0.3">
      <c r="A190" s="28" t="s">
        <v>235</v>
      </c>
      <c r="B190" s="28">
        <v>1</v>
      </c>
      <c r="C190" s="28">
        <v>2</v>
      </c>
      <c r="D190" s="29">
        <f t="shared" si="6"/>
        <v>3</v>
      </c>
      <c r="E190" s="28"/>
      <c r="F190" s="28">
        <v>1</v>
      </c>
      <c r="G190" s="29">
        <f t="shared" si="4"/>
        <v>2</v>
      </c>
      <c r="H190" s="30">
        <v>350</v>
      </c>
      <c r="I190" s="19">
        <f t="shared" si="5"/>
        <v>700</v>
      </c>
    </row>
    <row r="191" spans="1:9" x14ac:dyDescent="0.3">
      <c r="A191" s="28" t="s">
        <v>43</v>
      </c>
      <c r="B191" s="28">
        <v>150</v>
      </c>
      <c r="C191" s="28">
        <v>200</v>
      </c>
      <c r="D191" s="29">
        <f t="shared" si="6"/>
        <v>350</v>
      </c>
      <c r="E191" s="28"/>
      <c r="F191" s="28">
        <v>280</v>
      </c>
      <c r="G191" s="29">
        <f t="shared" si="4"/>
        <v>70</v>
      </c>
      <c r="H191" s="30">
        <v>250</v>
      </c>
      <c r="I191" s="19">
        <f t="shared" si="5"/>
        <v>17500</v>
      </c>
    </row>
    <row r="192" spans="1:9" x14ac:dyDescent="0.3">
      <c r="A192" s="28" t="s">
        <v>269</v>
      </c>
      <c r="B192" s="28"/>
      <c r="C192" s="28"/>
      <c r="D192" s="29">
        <f t="shared" si="6"/>
        <v>0</v>
      </c>
      <c r="E192" s="28"/>
      <c r="F192" s="28"/>
      <c r="G192" s="29">
        <f t="shared" si="4"/>
        <v>0</v>
      </c>
      <c r="H192" s="30">
        <v>100</v>
      </c>
      <c r="I192" s="19">
        <f t="shared" si="5"/>
        <v>0</v>
      </c>
    </row>
    <row r="193" spans="1:9" x14ac:dyDescent="0.3">
      <c r="A193" s="28" t="s">
        <v>44</v>
      </c>
      <c r="B193" s="28"/>
      <c r="C193" s="28">
        <v>20</v>
      </c>
      <c r="D193" s="29">
        <f t="shared" si="6"/>
        <v>20</v>
      </c>
      <c r="E193" s="28"/>
      <c r="F193" s="28">
        <v>10</v>
      </c>
      <c r="G193" s="29">
        <f t="shared" si="4"/>
        <v>10</v>
      </c>
      <c r="H193" s="31">
        <v>50</v>
      </c>
      <c r="I193" s="19">
        <f t="shared" si="5"/>
        <v>500</v>
      </c>
    </row>
    <row r="194" spans="1:9" x14ac:dyDescent="0.3">
      <c r="A194" s="28" t="s">
        <v>45</v>
      </c>
      <c r="B194" s="28">
        <v>195</v>
      </c>
      <c r="C194" s="28"/>
      <c r="D194" s="29">
        <f t="shared" si="6"/>
        <v>195</v>
      </c>
      <c r="E194" s="28"/>
      <c r="F194" s="28">
        <v>100</v>
      </c>
      <c r="G194" s="29">
        <f t="shared" si="4"/>
        <v>95</v>
      </c>
      <c r="H194" s="31">
        <v>350</v>
      </c>
      <c r="I194" s="19">
        <f t="shared" si="5"/>
        <v>33250</v>
      </c>
    </row>
    <row r="195" spans="1:9" x14ac:dyDescent="0.3">
      <c r="A195" s="28" t="s">
        <v>46</v>
      </c>
      <c r="B195" s="28">
        <v>140</v>
      </c>
      <c r="C195" s="28">
        <v>300</v>
      </c>
      <c r="D195" s="29">
        <f t="shared" si="6"/>
        <v>440</v>
      </c>
      <c r="E195" s="28"/>
      <c r="F195" s="28">
        <v>300</v>
      </c>
      <c r="G195" s="29">
        <f t="shared" si="4"/>
        <v>140</v>
      </c>
      <c r="H195" s="30">
        <v>30</v>
      </c>
      <c r="I195" s="19">
        <f t="shared" si="5"/>
        <v>4200</v>
      </c>
    </row>
    <row r="196" spans="1:9" x14ac:dyDescent="0.3">
      <c r="A196" s="28" t="s">
        <v>47</v>
      </c>
      <c r="B196" s="28">
        <v>8</v>
      </c>
      <c r="C196" s="28">
        <v>20</v>
      </c>
      <c r="D196" s="29">
        <f t="shared" si="6"/>
        <v>28</v>
      </c>
      <c r="E196" s="28"/>
      <c r="F196" s="28">
        <v>20</v>
      </c>
      <c r="G196" s="29">
        <f t="shared" si="4"/>
        <v>8</v>
      </c>
      <c r="H196" s="31">
        <v>300</v>
      </c>
      <c r="I196" s="19">
        <f t="shared" si="5"/>
        <v>2400</v>
      </c>
    </row>
    <row r="197" spans="1:9" x14ac:dyDescent="0.3">
      <c r="A197" s="28" t="s">
        <v>49</v>
      </c>
      <c r="B197" s="28">
        <v>46</v>
      </c>
      <c r="C197" s="28">
        <v>40</v>
      </c>
      <c r="D197" s="29">
        <f t="shared" si="6"/>
        <v>86</v>
      </c>
      <c r="E197" s="28"/>
      <c r="F197" s="28"/>
      <c r="G197" s="29">
        <f t="shared" si="4"/>
        <v>86</v>
      </c>
      <c r="H197" s="30">
        <v>850</v>
      </c>
      <c r="I197" s="19">
        <f t="shared" si="5"/>
        <v>73100</v>
      </c>
    </row>
    <row r="198" spans="1:9" x14ac:dyDescent="0.3">
      <c r="A198" s="28" t="s">
        <v>48</v>
      </c>
      <c r="B198" s="28"/>
      <c r="C198" s="28">
        <v>2</v>
      </c>
      <c r="D198" s="29">
        <f t="shared" si="6"/>
        <v>2</v>
      </c>
      <c r="E198" s="28"/>
      <c r="F198" s="28">
        <v>1</v>
      </c>
      <c r="G198" s="29">
        <f t="shared" si="4"/>
        <v>1</v>
      </c>
      <c r="H198" s="30">
        <v>1500</v>
      </c>
      <c r="I198" s="19">
        <f t="shared" si="5"/>
        <v>1500</v>
      </c>
    </row>
    <row r="199" spans="1:9" x14ac:dyDescent="0.3">
      <c r="A199" s="28" t="s">
        <v>50</v>
      </c>
      <c r="B199" s="28">
        <v>10</v>
      </c>
      <c r="C199" s="28"/>
      <c r="D199" s="29">
        <f t="shared" si="6"/>
        <v>10</v>
      </c>
      <c r="E199" s="28"/>
      <c r="F199" s="28">
        <v>3</v>
      </c>
      <c r="G199" s="29">
        <f t="shared" si="4"/>
        <v>7</v>
      </c>
      <c r="H199" s="30">
        <v>350</v>
      </c>
      <c r="I199" s="19">
        <f t="shared" si="5"/>
        <v>2450</v>
      </c>
    </row>
    <row r="200" spans="1:9" x14ac:dyDescent="0.3">
      <c r="A200" s="28" t="s">
        <v>51</v>
      </c>
      <c r="B200" s="28"/>
      <c r="C200" s="28">
        <v>20</v>
      </c>
      <c r="D200" s="29">
        <f t="shared" si="6"/>
        <v>20</v>
      </c>
      <c r="E200" s="28"/>
      <c r="F200" s="28">
        <v>10</v>
      </c>
      <c r="G200" s="29">
        <f t="shared" si="4"/>
        <v>10</v>
      </c>
      <c r="H200" s="30">
        <v>250</v>
      </c>
      <c r="I200" s="19">
        <f t="shared" si="5"/>
        <v>2500</v>
      </c>
    </row>
    <row r="201" spans="1:9" x14ac:dyDescent="0.3">
      <c r="A201" s="28" t="s">
        <v>52</v>
      </c>
      <c r="B201" s="28">
        <v>160</v>
      </c>
      <c r="C201" s="28">
        <v>200</v>
      </c>
      <c r="D201" s="29">
        <f t="shared" si="6"/>
        <v>360</v>
      </c>
      <c r="E201" s="28"/>
      <c r="F201" s="28">
        <v>170</v>
      </c>
      <c r="G201" s="29">
        <f t="shared" si="4"/>
        <v>190</v>
      </c>
      <c r="H201" s="30">
        <v>450</v>
      </c>
      <c r="I201" s="19">
        <f t="shared" si="5"/>
        <v>85500</v>
      </c>
    </row>
    <row r="202" spans="1:9" x14ac:dyDescent="0.3">
      <c r="A202" s="28" t="s">
        <v>53</v>
      </c>
      <c r="B202" s="28"/>
      <c r="C202" s="28"/>
      <c r="D202" s="29">
        <f t="shared" si="6"/>
        <v>0</v>
      </c>
      <c r="E202" s="28"/>
      <c r="F202" s="28"/>
      <c r="G202" s="29">
        <f t="shared" ref="G202:G296" si="7">D202-E202-F202</f>
        <v>0</v>
      </c>
      <c r="H202" s="31">
        <v>250</v>
      </c>
      <c r="I202" s="19">
        <f t="shared" si="5"/>
        <v>0</v>
      </c>
    </row>
    <row r="203" spans="1:9" x14ac:dyDescent="0.3">
      <c r="A203" s="28" t="s">
        <v>54</v>
      </c>
      <c r="B203" s="28"/>
      <c r="C203" s="28"/>
      <c r="D203" s="29">
        <f t="shared" si="6"/>
        <v>0</v>
      </c>
      <c r="E203" s="28"/>
      <c r="F203" s="28"/>
      <c r="G203" s="29">
        <f t="shared" si="7"/>
        <v>0</v>
      </c>
      <c r="H203" s="30"/>
      <c r="I203" s="19">
        <f t="shared" si="5"/>
        <v>0</v>
      </c>
    </row>
    <row r="204" spans="1:9" x14ac:dyDescent="0.3">
      <c r="A204" s="28" t="s">
        <v>233</v>
      </c>
      <c r="B204" s="28">
        <v>55</v>
      </c>
      <c r="C204" s="28"/>
      <c r="D204" s="29">
        <f t="shared" si="6"/>
        <v>55</v>
      </c>
      <c r="E204" s="28"/>
      <c r="F204" s="28">
        <v>18</v>
      </c>
      <c r="G204" s="29">
        <f t="shared" si="7"/>
        <v>37</v>
      </c>
      <c r="H204" s="33">
        <v>700</v>
      </c>
      <c r="I204" s="19">
        <f t="shared" si="5"/>
        <v>25900</v>
      </c>
    </row>
    <row r="205" spans="1:9" x14ac:dyDescent="0.3">
      <c r="A205" s="28" t="s">
        <v>67</v>
      </c>
      <c r="B205" s="28">
        <v>5</v>
      </c>
      <c r="C205" s="28">
        <v>30</v>
      </c>
      <c r="D205" s="29">
        <f t="shared" si="6"/>
        <v>35</v>
      </c>
      <c r="E205" s="28"/>
      <c r="F205" s="28">
        <v>20</v>
      </c>
      <c r="G205" s="29">
        <f t="shared" si="7"/>
        <v>15</v>
      </c>
      <c r="H205" s="30">
        <v>150</v>
      </c>
      <c r="I205" s="19">
        <f t="shared" si="5"/>
        <v>2250</v>
      </c>
    </row>
    <row r="206" spans="1:9" x14ac:dyDescent="0.3">
      <c r="A206" s="28" t="s">
        <v>71</v>
      </c>
      <c r="B206" s="28">
        <v>24</v>
      </c>
      <c r="C206" s="28">
        <v>20</v>
      </c>
      <c r="D206" s="29">
        <f t="shared" si="6"/>
        <v>44</v>
      </c>
      <c r="E206" s="28"/>
      <c r="F206" s="28">
        <v>30</v>
      </c>
      <c r="G206" s="29">
        <f t="shared" si="7"/>
        <v>14</v>
      </c>
      <c r="H206" s="31">
        <v>750</v>
      </c>
      <c r="I206" s="19">
        <f t="shared" si="5"/>
        <v>10500</v>
      </c>
    </row>
    <row r="207" spans="1:9" x14ac:dyDescent="0.3">
      <c r="A207" s="28" t="s">
        <v>72</v>
      </c>
      <c r="B207" s="28"/>
      <c r="C207" s="28"/>
      <c r="D207" s="29">
        <f t="shared" si="6"/>
        <v>0</v>
      </c>
      <c r="E207" s="28"/>
      <c r="F207" s="28"/>
      <c r="G207" s="29">
        <f t="shared" si="7"/>
        <v>0</v>
      </c>
      <c r="H207" s="30">
        <v>70</v>
      </c>
      <c r="I207" s="19">
        <f t="shared" ref="I207:I306" si="8">G207*H207</f>
        <v>0</v>
      </c>
    </row>
    <row r="208" spans="1:9" x14ac:dyDescent="0.3">
      <c r="A208" s="28" t="s">
        <v>73</v>
      </c>
      <c r="B208" s="28">
        <v>14</v>
      </c>
      <c r="C208" s="28">
        <v>30</v>
      </c>
      <c r="D208" s="29">
        <f t="shared" si="6"/>
        <v>44</v>
      </c>
      <c r="E208" s="28"/>
      <c r="F208" s="28">
        <v>30</v>
      </c>
      <c r="G208" s="29">
        <f t="shared" si="7"/>
        <v>14</v>
      </c>
      <c r="H208" s="30">
        <v>200</v>
      </c>
      <c r="I208" s="19">
        <f t="shared" si="8"/>
        <v>2800</v>
      </c>
    </row>
    <row r="209" spans="1:9" x14ac:dyDescent="0.3">
      <c r="A209" s="28" t="s">
        <v>75</v>
      </c>
      <c r="B209" s="28">
        <v>7</v>
      </c>
      <c r="C209" s="28">
        <v>30</v>
      </c>
      <c r="D209" s="29">
        <f t="shared" si="6"/>
        <v>37</v>
      </c>
      <c r="E209" s="28"/>
      <c r="F209" s="28">
        <v>20</v>
      </c>
      <c r="G209" s="29">
        <f t="shared" si="7"/>
        <v>17</v>
      </c>
      <c r="H209" s="32">
        <v>100</v>
      </c>
      <c r="I209" s="19">
        <f t="shared" si="8"/>
        <v>1700</v>
      </c>
    </row>
    <row r="210" spans="1:9" x14ac:dyDescent="0.3">
      <c r="A210" s="28" t="s">
        <v>76</v>
      </c>
      <c r="B210" s="28"/>
      <c r="C210" s="28">
        <v>10</v>
      </c>
      <c r="D210" s="29">
        <f t="shared" si="6"/>
        <v>10</v>
      </c>
      <c r="E210" s="28"/>
      <c r="F210" s="28">
        <v>10</v>
      </c>
      <c r="G210" s="29">
        <f t="shared" si="7"/>
        <v>0</v>
      </c>
      <c r="H210" s="31">
        <v>400</v>
      </c>
      <c r="I210" s="19">
        <f t="shared" si="8"/>
        <v>0</v>
      </c>
    </row>
    <row r="211" spans="1:9" x14ac:dyDescent="0.3">
      <c r="A211" s="28" t="s">
        <v>74</v>
      </c>
      <c r="B211" s="28">
        <v>10</v>
      </c>
      <c r="C211" s="28"/>
      <c r="D211" s="29">
        <f t="shared" si="6"/>
        <v>10</v>
      </c>
      <c r="E211" s="28"/>
      <c r="F211" s="28">
        <v>10</v>
      </c>
      <c r="G211" s="29">
        <f t="shared" si="7"/>
        <v>0</v>
      </c>
      <c r="H211" s="31">
        <v>135</v>
      </c>
      <c r="I211" s="19">
        <f t="shared" si="8"/>
        <v>0</v>
      </c>
    </row>
    <row r="212" spans="1:9" x14ac:dyDescent="0.3">
      <c r="A212" s="28" t="s">
        <v>78</v>
      </c>
      <c r="B212" s="28">
        <v>8</v>
      </c>
      <c r="C212" s="28"/>
      <c r="D212" s="29">
        <f t="shared" si="6"/>
        <v>8</v>
      </c>
      <c r="E212" s="28"/>
      <c r="F212" s="28">
        <v>6</v>
      </c>
      <c r="G212" s="29">
        <f t="shared" si="7"/>
        <v>2</v>
      </c>
      <c r="H212" s="30">
        <v>100</v>
      </c>
      <c r="I212" s="19">
        <f t="shared" si="8"/>
        <v>200</v>
      </c>
    </row>
    <row r="213" spans="1:9" x14ac:dyDescent="0.3">
      <c r="A213" s="28" t="s">
        <v>79</v>
      </c>
      <c r="B213" s="28">
        <v>10</v>
      </c>
      <c r="C213" s="28">
        <v>20</v>
      </c>
      <c r="D213" s="29">
        <f t="shared" si="6"/>
        <v>30</v>
      </c>
      <c r="E213" s="28"/>
      <c r="F213" s="28">
        <v>20</v>
      </c>
      <c r="G213" s="29">
        <f t="shared" si="7"/>
        <v>10</v>
      </c>
      <c r="H213" s="32">
        <v>40</v>
      </c>
      <c r="I213" s="19">
        <f t="shared" si="8"/>
        <v>400</v>
      </c>
    </row>
    <row r="214" spans="1:9" x14ac:dyDescent="0.3">
      <c r="A214" s="28" t="s">
        <v>77</v>
      </c>
      <c r="B214" s="28"/>
      <c r="C214" s="28">
        <v>30</v>
      </c>
      <c r="D214" s="29">
        <f t="shared" si="6"/>
        <v>30</v>
      </c>
      <c r="E214" s="28"/>
      <c r="F214" s="28">
        <v>20</v>
      </c>
      <c r="G214" s="29">
        <f t="shared" si="7"/>
        <v>10</v>
      </c>
      <c r="H214" s="31">
        <v>100</v>
      </c>
      <c r="I214" s="19">
        <f t="shared" si="8"/>
        <v>1000</v>
      </c>
    </row>
    <row r="215" spans="1:9" x14ac:dyDescent="0.3">
      <c r="A215" s="28" t="s">
        <v>80</v>
      </c>
      <c r="B215" s="28">
        <v>35</v>
      </c>
      <c r="C215" s="28"/>
      <c r="D215" s="29">
        <f t="shared" si="6"/>
        <v>35</v>
      </c>
      <c r="E215" s="28"/>
      <c r="F215" s="28">
        <v>10</v>
      </c>
      <c r="G215" s="29">
        <f t="shared" si="7"/>
        <v>25</v>
      </c>
      <c r="H215" s="31">
        <v>200</v>
      </c>
      <c r="I215" s="19">
        <f t="shared" si="8"/>
        <v>5000</v>
      </c>
    </row>
    <row r="216" spans="1:9" x14ac:dyDescent="0.3">
      <c r="A216" s="28" t="s">
        <v>153</v>
      </c>
      <c r="B216" s="28"/>
      <c r="C216" s="28"/>
      <c r="D216" s="29">
        <f t="shared" si="6"/>
        <v>0</v>
      </c>
      <c r="E216" s="28"/>
      <c r="F216" s="28"/>
      <c r="G216" s="29">
        <f t="shared" si="7"/>
        <v>0</v>
      </c>
      <c r="H216" s="31">
        <v>200</v>
      </c>
      <c r="I216" s="19">
        <f t="shared" si="8"/>
        <v>0</v>
      </c>
    </row>
    <row r="217" spans="1:9" x14ac:dyDescent="0.3">
      <c r="A217" s="28" t="s">
        <v>154</v>
      </c>
      <c r="B217" s="28"/>
      <c r="C217" s="28"/>
      <c r="D217" s="29">
        <f t="shared" si="6"/>
        <v>0</v>
      </c>
      <c r="E217" s="28"/>
      <c r="F217" s="28"/>
      <c r="G217" s="29">
        <f t="shared" si="7"/>
        <v>0</v>
      </c>
      <c r="H217" s="33">
        <v>750</v>
      </c>
      <c r="I217" s="19">
        <f t="shared" si="8"/>
        <v>0</v>
      </c>
    </row>
    <row r="218" spans="1:9" x14ac:dyDescent="0.3">
      <c r="A218" s="28" t="s">
        <v>155</v>
      </c>
      <c r="B218" s="28"/>
      <c r="C218" s="28">
        <v>50</v>
      </c>
      <c r="D218" s="29">
        <f t="shared" si="6"/>
        <v>50</v>
      </c>
      <c r="E218" s="28"/>
      <c r="F218" s="28">
        <v>2</v>
      </c>
      <c r="G218" s="29">
        <f t="shared" si="7"/>
        <v>48</v>
      </c>
      <c r="H218" s="33">
        <v>300</v>
      </c>
      <c r="I218" s="19">
        <f t="shared" si="8"/>
        <v>14400</v>
      </c>
    </row>
    <row r="219" spans="1:9" x14ac:dyDescent="0.3">
      <c r="A219" s="28" t="s">
        <v>171</v>
      </c>
      <c r="B219" s="28"/>
      <c r="C219" s="28"/>
      <c r="D219" s="29">
        <f t="shared" si="6"/>
        <v>0</v>
      </c>
      <c r="E219" s="28"/>
      <c r="F219" s="28"/>
      <c r="G219" s="29">
        <f t="shared" si="7"/>
        <v>0</v>
      </c>
      <c r="H219" s="33">
        <v>100</v>
      </c>
      <c r="I219" s="19">
        <f t="shared" si="8"/>
        <v>0</v>
      </c>
    </row>
    <row r="220" spans="1:9" x14ac:dyDescent="0.3">
      <c r="A220" s="28" t="s">
        <v>172</v>
      </c>
      <c r="B220" s="28"/>
      <c r="C220" s="28"/>
      <c r="D220" s="29">
        <f t="shared" si="6"/>
        <v>0</v>
      </c>
      <c r="E220" s="28"/>
      <c r="F220" s="28"/>
      <c r="G220" s="29">
        <f t="shared" si="7"/>
        <v>0</v>
      </c>
      <c r="H220" s="33">
        <v>100</v>
      </c>
      <c r="I220" s="19"/>
    </row>
    <row r="221" spans="1:9" x14ac:dyDescent="0.3">
      <c r="A221" s="28" t="s">
        <v>173</v>
      </c>
      <c r="B221" s="28">
        <v>8</v>
      </c>
      <c r="C221" s="28"/>
      <c r="D221" s="29">
        <f t="shared" ref="D221:D289" si="9">B221+C221</f>
        <v>8</v>
      </c>
      <c r="E221" s="28"/>
      <c r="F221" s="28"/>
      <c r="G221" s="29">
        <f t="shared" si="7"/>
        <v>8</v>
      </c>
      <c r="H221" s="33">
        <v>130</v>
      </c>
      <c r="I221" s="19">
        <f t="shared" si="8"/>
        <v>1040</v>
      </c>
    </row>
    <row r="222" spans="1:9" x14ac:dyDescent="0.3">
      <c r="A222" s="28" t="s">
        <v>200</v>
      </c>
      <c r="B222" s="28"/>
      <c r="C222" s="28">
        <v>30</v>
      </c>
      <c r="D222" s="29">
        <f t="shared" si="9"/>
        <v>30</v>
      </c>
      <c r="E222" s="28"/>
      <c r="F222" s="28">
        <v>30</v>
      </c>
      <c r="G222" s="29">
        <f t="shared" si="7"/>
        <v>0</v>
      </c>
      <c r="H222" s="33">
        <v>900</v>
      </c>
      <c r="I222" s="19">
        <f t="shared" si="8"/>
        <v>0</v>
      </c>
    </row>
    <row r="223" spans="1:9" x14ac:dyDescent="0.3">
      <c r="A223" s="28" t="s">
        <v>203</v>
      </c>
      <c r="B223" s="28"/>
      <c r="C223" s="28">
        <v>10</v>
      </c>
      <c r="D223" s="29">
        <f t="shared" si="9"/>
        <v>10</v>
      </c>
      <c r="E223" s="28"/>
      <c r="F223" s="28">
        <v>6</v>
      </c>
      <c r="G223" s="29">
        <f t="shared" si="7"/>
        <v>4</v>
      </c>
      <c r="H223" s="33">
        <v>70</v>
      </c>
      <c r="I223" s="19">
        <f t="shared" si="8"/>
        <v>280</v>
      </c>
    </row>
    <row r="224" spans="1:9" x14ac:dyDescent="0.3">
      <c r="A224" s="28" t="s">
        <v>75</v>
      </c>
      <c r="B224" s="28"/>
      <c r="C224" s="28">
        <v>30</v>
      </c>
      <c r="D224" s="29">
        <f t="shared" si="9"/>
        <v>30</v>
      </c>
      <c r="E224" s="28"/>
      <c r="F224" s="28">
        <v>24</v>
      </c>
      <c r="G224" s="29">
        <f t="shared" si="7"/>
        <v>6</v>
      </c>
      <c r="H224" s="30">
        <v>100</v>
      </c>
      <c r="I224" s="19">
        <f t="shared" si="8"/>
        <v>600</v>
      </c>
    </row>
    <row r="225" spans="1:9" x14ac:dyDescent="0.3">
      <c r="A225" s="28" t="s">
        <v>307</v>
      </c>
      <c r="B225" s="28">
        <v>38</v>
      </c>
      <c r="C225" s="28"/>
      <c r="D225" s="29">
        <f t="shared" si="9"/>
        <v>38</v>
      </c>
      <c r="E225" s="28"/>
      <c r="F225" s="28"/>
      <c r="G225" s="29">
        <f t="shared" si="7"/>
        <v>38</v>
      </c>
      <c r="H225" s="30">
        <v>850</v>
      </c>
      <c r="I225" s="19">
        <f t="shared" si="8"/>
        <v>32300</v>
      </c>
    </row>
    <row r="226" spans="1:9" x14ac:dyDescent="0.3">
      <c r="A226" s="28" t="s">
        <v>279</v>
      </c>
      <c r="B226" s="28"/>
      <c r="C226" s="28"/>
      <c r="D226" s="29">
        <f t="shared" si="9"/>
        <v>0</v>
      </c>
      <c r="E226" s="28"/>
      <c r="F226" s="28"/>
      <c r="G226" s="29">
        <f t="shared" si="7"/>
        <v>0</v>
      </c>
      <c r="H226" s="30">
        <v>400</v>
      </c>
      <c r="I226" s="19">
        <f t="shared" si="8"/>
        <v>0</v>
      </c>
    </row>
    <row r="227" spans="1:9" x14ac:dyDescent="0.3">
      <c r="A227" s="28" t="s">
        <v>222</v>
      </c>
      <c r="B227" s="28">
        <v>10</v>
      </c>
      <c r="C227" s="28"/>
      <c r="D227" s="29">
        <f t="shared" si="9"/>
        <v>10</v>
      </c>
      <c r="E227" s="28"/>
      <c r="F227" s="28"/>
      <c r="G227" s="29">
        <f t="shared" si="7"/>
        <v>10</v>
      </c>
      <c r="H227" s="30">
        <v>550</v>
      </c>
      <c r="I227" s="19">
        <f t="shared" si="8"/>
        <v>5500</v>
      </c>
    </row>
    <row r="228" spans="1:9" x14ac:dyDescent="0.3">
      <c r="A228" s="28" t="s">
        <v>223</v>
      </c>
      <c r="B228" s="28"/>
      <c r="C228" s="28"/>
      <c r="D228" s="29">
        <f t="shared" si="9"/>
        <v>0</v>
      </c>
      <c r="E228" s="28"/>
      <c r="F228" s="28"/>
      <c r="G228" s="29">
        <f t="shared" si="7"/>
        <v>0</v>
      </c>
      <c r="H228" s="30">
        <v>150</v>
      </c>
      <c r="I228" s="19">
        <f t="shared" si="8"/>
        <v>0</v>
      </c>
    </row>
    <row r="229" spans="1:9" x14ac:dyDescent="0.3">
      <c r="A229" s="28" t="s">
        <v>188</v>
      </c>
      <c r="B229" s="28"/>
      <c r="C229" s="28">
        <v>20</v>
      </c>
      <c r="D229" s="29">
        <f t="shared" si="9"/>
        <v>20</v>
      </c>
      <c r="E229" s="28"/>
      <c r="F229" s="28"/>
      <c r="G229" s="29">
        <f t="shared" si="7"/>
        <v>20</v>
      </c>
      <c r="H229" s="30">
        <v>800</v>
      </c>
      <c r="I229" s="19">
        <f t="shared" si="8"/>
        <v>16000</v>
      </c>
    </row>
    <row r="230" spans="1:9" x14ac:dyDescent="0.3">
      <c r="A230" s="28" t="s">
        <v>230</v>
      </c>
      <c r="B230" s="28"/>
      <c r="C230" s="28"/>
      <c r="D230" s="29">
        <f t="shared" si="9"/>
        <v>0</v>
      </c>
      <c r="E230" s="28"/>
      <c r="F230" s="28"/>
      <c r="G230" s="29">
        <f t="shared" si="7"/>
        <v>0</v>
      </c>
      <c r="H230" s="30">
        <v>170</v>
      </c>
      <c r="I230" s="19">
        <f t="shared" si="8"/>
        <v>0</v>
      </c>
    </row>
    <row r="231" spans="1:9" x14ac:dyDescent="0.3">
      <c r="A231" s="28" t="s">
        <v>245</v>
      </c>
      <c r="B231" s="28"/>
      <c r="C231" s="28"/>
      <c r="D231" s="29">
        <f t="shared" si="9"/>
        <v>0</v>
      </c>
      <c r="E231" s="28"/>
      <c r="F231" s="28"/>
      <c r="G231" s="29">
        <f t="shared" si="7"/>
        <v>0</v>
      </c>
      <c r="H231" s="30">
        <v>750</v>
      </c>
      <c r="I231" s="19">
        <f t="shared" si="8"/>
        <v>0</v>
      </c>
    </row>
    <row r="232" spans="1:9" x14ac:dyDescent="0.3">
      <c r="A232" s="28" t="s">
        <v>250</v>
      </c>
      <c r="B232" s="28"/>
      <c r="C232" s="28">
        <v>60</v>
      </c>
      <c r="D232" s="29">
        <f t="shared" si="9"/>
        <v>60</v>
      </c>
      <c r="E232" s="28"/>
      <c r="F232" s="28">
        <v>50</v>
      </c>
      <c r="G232" s="29"/>
      <c r="H232" s="30">
        <v>1300</v>
      </c>
      <c r="I232" s="19">
        <f t="shared" si="8"/>
        <v>0</v>
      </c>
    </row>
    <row r="233" spans="1:9" x14ac:dyDescent="0.3">
      <c r="A233" s="28" t="s">
        <v>251</v>
      </c>
      <c r="B233" s="28"/>
      <c r="C233" s="28"/>
      <c r="D233" s="29">
        <f t="shared" si="9"/>
        <v>0</v>
      </c>
      <c r="E233" s="28"/>
      <c r="F233" s="28"/>
      <c r="G233" s="29">
        <f t="shared" si="7"/>
        <v>0</v>
      </c>
      <c r="H233" s="30">
        <v>850</v>
      </c>
      <c r="I233" s="19">
        <f t="shared" si="8"/>
        <v>0</v>
      </c>
    </row>
    <row r="234" spans="1:9" x14ac:dyDescent="0.3">
      <c r="A234" s="28" t="s">
        <v>270</v>
      </c>
      <c r="B234" s="28"/>
      <c r="C234" s="28"/>
      <c r="D234" s="29">
        <f t="shared" si="9"/>
        <v>0</v>
      </c>
      <c r="E234" s="28"/>
      <c r="F234" s="28"/>
      <c r="G234" s="29">
        <f t="shared" si="7"/>
        <v>0</v>
      </c>
      <c r="H234" s="30">
        <v>400</v>
      </c>
      <c r="I234" s="19">
        <f t="shared" si="8"/>
        <v>0</v>
      </c>
    </row>
    <row r="235" spans="1:9" x14ac:dyDescent="0.3">
      <c r="A235" s="28" t="s">
        <v>118</v>
      </c>
      <c r="B235" s="28"/>
      <c r="C235" s="28">
        <v>30</v>
      </c>
      <c r="D235" s="29">
        <f t="shared" si="9"/>
        <v>30</v>
      </c>
      <c r="E235" s="28"/>
      <c r="F235" s="28">
        <v>24</v>
      </c>
      <c r="G235" s="29">
        <f t="shared" si="7"/>
        <v>6</v>
      </c>
      <c r="H235" s="30">
        <v>500</v>
      </c>
      <c r="I235" s="19">
        <f t="shared" si="8"/>
        <v>3000</v>
      </c>
    </row>
    <row r="236" spans="1:9" x14ac:dyDescent="0.3">
      <c r="A236" s="28" t="s">
        <v>118</v>
      </c>
      <c r="B236" s="28"/>
      <c r="C236" s="28">
        <v>40</v>
      </c>
      <c r="D236" s="29">
        <f t="shared" si="9"/>
        <v>40</v>
      </c>
      <c r="E236" s="28"/>
      <c r="F236" s="28">
        <v>36</v>
      </c>
      <c r="G236" s="29">
        <f t="shared" si="7"/>
        <v>4</v>
      </c>
      <c r="H236" s="30">
        <v>800</v>
      </c>
      <c r="I236" s="19">
        <f t="shared" si="8"/>
        <v>3200</v>
      </c>
    </row>
    <row r="237" spans="1:9" x14ac:dyDescent="0.3">
      <c r="A237" s="28" t="s">
        <v>321</v>
      </c>
      <c r="B237" s="28"/>
      <c r="C237" s="28"/>
      <c r="D237" s="29">
        <f t="shared" si="9"/>
        <v>0</v>
      </c>
      <c r="E237" s="28"/>
      <c r="F237" s="28"/>
      <c r="G237" s="29">
        <f t="shared" si="7"/>
        <v>0</v>
      </c>
      <c r="H237" s="30">
        <v>600</v>
      </c>
      <c r="I237" s="19">
        <f t="shared" si="8"/>
        <v>0</v>
      </c>
    </row>
    <row r="238" spans="1:9" x14ac:dyDescent="0.3">
      <c r="A238" s="28" t="s">
        <v>339</v>
      </c>
      <c r="B238" s="28"/>
      <c r="C238" s="28"/>
      <c r="D238" s="29">
        <f t="shared" si="9"/>
        <v>0</v>
      </c>
      <c r="E238" s="28"/>
      <c r="F238" s="28"/>
      <c r="G238" s="29">
        <f t="shared" si="7"/>
        <v>0</v>
      </c>
      <c r="H238" s="30">
        <v>300</v>
      </c>
      <c r="I238" s="19">
        <f t="shared" si="8"/>
        <v>0</v>
      </c>
    </row>
    <row r="239" spans="1:9" x14ac:dyDescent="0.3">
      <c r="A239" s="28"/>
      <c r="B239" s="28"/>
      <c r="C239" s="28"/>
      <c r="D239" s="29"/>
      <c r="E239" s="28"/>
      <c r="F239" s="28"/>
      <c r="G239" s="29"/>
      <c r="H239" s="30"/>
      <c r="I239" s="19"/>
    </row>
    <row r="240" spans="1:9" x14ac:dyDescent="0.3">
      <c r="A240" s="24" t="s">
        <v>3</v>
      </c>
      <c r="B240" s="28"/>
      <c r="C240" s="28"/>
      <c r="D240" s="29">
        <f t="shared" si="9"/>
        <v>0</v>
      </c>
      <c r="E240" s="28"/>
      <c r="F240" s="28"/>
      <c r="G240" s="29">
        <f t="shared" si="7"/>
        <v>0</v>
      </c>
      <c r="H240" s="30"/>
      <c r="I240" s="19">
        <f t="shared" si="8"/>
        <v>0</v>
      </c>
    </row>
    <row r="241" spans="1:9" x14ac:dyDescent="0.3">
      <c r="A241" s="28" t="s">
        <v>55</v>
      </c>
      <c r="B241" s="28">
        <v>100</v>
      </c>
      <c r="C241" s="28"/>
      <c r="D241" s="29">
        <f t="shared" si="9"/>
        <v>100</v>
      </c>
      <c r="E241" s="28"/>
      <c r="F241" s="28">
        <v>97</v>
      </c>
      <c r="G241" s="29">
        <f t="shared" si="7"/>
        <v>3</v>
      </c>
      <c r="H241" s="30">
        <v>750</v>
      </c>
      <c r="I241" s="19">
        <f t="shared" si="8"/>
        <v>2250</v>
      </c>
    </row>
    <row r="242" spans="1:9" x14ac:dyDescent="0.3">
      <c r="A242" s="28" t="s">
        <v>326</v>
      </c>
      <c r="B242" s="28"/>
      <c r="C242" s="28"/>
      <c r="D242" s="29">
        <f t="shared" si="9"/>
        <v>0</v>
      </c>
      <c r="E242" s="28"/>
      <c r="F242" s="28"/>
      <c r="G242" s="29">
        <f t="shared" si="7"/>
        <v>0</v>
      </c>
      <c r="H242" s="30">
        <v>750</v>
      </c>
      <c r="I242" s="19">
        <f t="shared" si="8"/>
        <v>0</v>
      </c>
    </row>
    <row r="243" spans="1:9" x14ac:dyDescent="0.3">
      <c r="A243" s="28" t="s">
        <v>56</v>
      </c>
      <c r="B243" s="28">
        <v>60</v>
      </c>
      <c r="C243" s="28"/>
      <c r="D243" s="29">
        <f t="shared" si="9"/>
        <v>60</v>
      </c>
      <c r="E243" s="28"/>
      <c r="F243" s="28">
        <v>40</v>
      </c>
      <c r="G243" s="29">
        <f t="shared" si="7"/>
        <v>20</v>
      </c>
      <c r="H243" s="30">
        <v>750</v>
      </c>
      <c r="I243" s="19">
        <f t="shared" si="8"/>
        <v>15000</v>
      </c>
    </row>
    <row r="244" spans="1:9" x14ac:dyDescent="0.3">
      <c r="A244" s="28" t="s">
        <v>57</v>
      </c>
      <c r="B244" s="28">
        <v>175</v>
      </c>
      <c r="C244" s="28"/>
      <c r="D244" s="29">
        <f t="shared" si="9"/>
        <v>175</v>
      </c>
      <c r="E244" s="28"/>
      <c r="F244" s="28">
        <v>170</v>
      </c>
      <c r="G244" s="29">
        <f t="shared" si="7"/>
        <v>5</v>
      </c>
      <c r="H244" s="31">
        <v>850</v>
      </c>
      <c r="I244" s="19">
        <f t="shared" si="8"/>
        <v>4250</v>
      </c>
    </row>
    <row r="245" spans="1:9" x14ac:dyDescent="0.3">
      <c r="A245" s="28" t="s">
        <v>293</v>
      </c>
      <c r="B245" s="28">
        <v>26</v>
      </c>
      <c r="C245" s="28"/>
      <c r="D245" s="29">
        <f t="shared" si="9"/>
        <v>26</v>
      </c>
      <c r="E245" s="28"/>
      <c r="F245" s="28">
        <v>22</v>
      </c>
      <c r="G245" s="29">
        <f t="shared" si="7"/>
        <v>4</v>
      </c>
      <c r="H245" s="31">
        <v>1000</v>
      </c>
      <c r="I245" s="19">
        <f t="shared" si="8"/>
        <v>4000</v>
      </c>
    </row>
    <row r="246" spans="1:9" x14ac:dyDescent="0.3">
      <c r="A246" s="28" t="s">
        <v>294</v>
      </c>
      <c r="B246" s="28">
        <v>20</v>
      </c>
      <c r="C246" s="28"/>
      <c r="D246" s="29">
        <f t="shared" si="9"/>
        <v>20</v>
      </c>
      <c r="E246" s="28"/>
      <c r="F246" s="28"/>
      <c r="G246" s="29">
        <f t="shared" si="7"/>
        <v>20</v>
      </c>
      <c r="H246" s="31">
        <v>850</v>
      </c>
      <c r="I246" s="19">
        <f t="shared" si="8"/>
        <v>17000</v>
      </c>
    </row>
    <row r="247" spans="1:9" x14ac:dyDescent="0.3">
      <c r="A247" s="28" t="s">
        <v>58</v>
      </c>
      <c r="B247" s="28">
        <v>100</v>
      </c>
      <c r="C247" s="28"/>
      <c r="D247" s="29">
        <f t="shared" si="9"/>
        <v>100</v>
      </c>
      <c r="E247" s="28"/>
      <c r="F247" s="28">
        <v>80</v>
      </c>
      <c r="G247" s="29">
        <f t="shared" si="7"/>
        <v>20</v>
      </c>
      <c r="H247" s="31">
        <v>270</v>
      </c>
      <c r="I247" s="19">
        <f t="shared" si="8"/>
        <v>5400</v>
      </c>
    </row>
    <row r="248" spans="1:9" x14ac:dyDescent="0.3">
      <c r="A248" s="28" t="s">
        <v>59</v>
      </c>
      <c r="B248" s="28">
        <v>100</v>
      </c>
      <c r="C248" s="28"/>
      <c r="D248" s="29">
        <f t="shared" si="9"/>
        <v>100</v>
      </c>
      <c r="E248" s="28"/>
      <c r="F248" s="28">
        <v>60</v>
      </c>
      <c r="G248" s="29">
        <f t="shared" si="7"/>
        <v>40</v>
      </c>
      <c r="H248" s="31">
        <v>300</v>
      </c>
      <c r="I248" s="19">
        <f t="shared" si="8"/>
        <v>12000</v>
      </c>
    </row>
    <row r="249" spans="1:9" x14ac:dyDescent="0.3">
      <c r="A249" s="28" t="s">
        <v>60</v>
      </c>
      <c r="B249" s="28">
        <v>114</v>
      </c>
      <c r="C249" s="28"/>
      <c r="D249" s="29">
        <f t="shared" si="9"/>
        <v>114</v>
      </c>
      <c r="E249" s="28"/>
      <c r="F249" s="28">
        <v>114</v>
      </c>
      <c r="G249" s="29">
        <f t="shared" si="7"/>
        <v>0</v>
      </c>
      <c r="H249" s="30">
        <v>750</v>
      </c>
      <c r="I249" s="19">
        <f t="shared" si="8"/>
        <v>0</v>
      </c>
    </row>
    <row r="250" spans="1:9" x14ac:dyDescent="0.3">
      <c r="A250" s="28" t="s">
        <v>61</v>
      </c>
      <c r="B250" s="28">
        <v>3</v>
      </c>
      <c r="C250" s="28"/>
      <c r="D250" s="29">
        <f t="shared" si="9"/>
        <v>3</v>
      </c>
      <c r="E250" s="28"/>
      <c r="F250" s="28">
        <v>3</v>
      </c>
      <c r="G250" s="29">
        <f t="shared" si="7"/>
        <v>0</v>
      </c>
      <c r="H250" s="30">
        <v>1000</v>
      </c>
      <c r="I250" s="19">
        <f t="shared" si="8"/>
        <v>0</v>
      </c>
    </row>
    <row r="251" spans="1:9" x14ac:dyDescent="0.3">
      <c r="A251" s="28" t="s">
        <v>62</v>
      </c>
      <c r="B251" s="28">
        <v>34</v>
      </c>
      <c r="C251" s="28"/>
      <c r="D251" s="29">
        <f t="shared" si="9"/>
        <v>34</v>
      </c>
      <c r="E251" s="28"/>
      <c r="F251" s="28">
        <v>20</v>
      </c>
      <c r="G251" s="29">
        <f t="shared" si="7"/>
        <v>14</v>
      </c>
      <c r="H251" s="30">
        <v>850</v>
      </c>
      <c r="I251" s="19">
        <f t="shared" si="8"/>
        <v>11900</v>
      </c>
    </row>
    <row r="252" spans="1:9" x14ac:dyDescent="0.3">
      <c r="A252" s="28" t="s">
        <v>68</v>
      </c>
      <c r="B252" s="28">
        <v>12</v>
      </c>
      <c r="C252" s="28"/>
      <c r="D252" s="29">
        <f t="shared" si="9"/>
        <v>12</v>
      </c>
      <c r="E252" s="28"/>
      <c r="F252" s="28">
        <v>10</v>
      </c>
      <c r="G252" s="29">
        <f t="shared" si="7"/>
        <v>2</v>
      </c>
      <c r="H252" s="30">
        <v>850</v>
      </c>
      <c r="I252" s="19">
        <f t="shared" si="8"/>
        <v>1700</v>
      </c>
    </row>
    <row r="253" spans="1:9" x14ac:dyDescent="0.3">
      <c r="A253" s="28" t="s">
        <v>324</v>
      </c>
      <c r="B253" s="28"/>
      <c r="C253" s="28"/>
      <c r="D253" s="29">
        <f t="shared" si="9"/>
        <v>0</v>
      </c>
      <c r="E253" s="28"/>
      <c r="F253" s="28"/>
      <c r="G253" s="29">
        <f t="shared" si="7"/>
        <v>0</v>
      </c>
      <c r="H253" s="30">
        <v>250</v>
      </c>
      <c r="I253" s="19">
        <f t="shared" si="8"/>
        <v>0</v>
      </c>
    </row>
    <row r="254" spans="1:9" x14ac:dyDescent="0.3">
      <c r="A254" s="28"/>
      <c r="B254" s="28"/>
      <c r="C254" s="28"/>
      <c r="D254" s="29">
        <f t="shared" si="9"/>
        <v>0</v>
      </c>
      <c r="E254" s="28"/>
      <c r="F254" s="28"/>
      <c r="G254" s="29">
        <f t="shared" si="7"/>
        <v>0</v>
      </c>
      <c r="H254" s="30"/>
      <c r="I254" s="19">
        <f t="shared" si="8"/>
        <v>0</v>
      </c>
    </row>
    <row r="255" spans="1:9" x14ac:dyDescent="0.3">
      <c r="A255" s="28"/>
      <c r="B255" s="28"/>
      <c r="C255" s="28"/>
      <c r="D255" s="29">
        <f t="shared" si="9"/>
        <v>0</v>
      </c>
      <c r="E255" s="28"/>
      <c r="F255" s="28"/>
      <c r="G255" s="29">
        <f t="shared" si="7"/>
        <v>0</v>
      </c>
      <c r="H255" s="30"/>
      <c r="I255" s="19">
        <f t="shared" si="8"/>
        <v>0</v>
      </c>
    </row>
    <row r="256" spans="1:9" x14ac:dyDescent="0.3">
      <c r="A256" s="24" t="s">
        <v>63</v>
      </c>
      <c r="B256" s="28"/>
      <c r="C256" s="28"/>
      <c r="D256" s="29">
        <f t="shared" si="9"/>
        <v>0</v>
      </c>
      <c r="E256" s="28"/>
      <c r="F256" s="28"/>
      <c r="G256" s="29">
        <f t="shared" si="7"/>
        <v>0</v>
      </c>
      <c r="H256" s="30"/>
      <c r="I256" s="19">
        <f t="shared" si="8"/>
        <v>0</v>
      </c>
    </row>
    <row r="257" spans="1:9" x14ac:dyDescent="0.3">
      <c r="A257" s="28" t="s">
        <v>64</v>
      </c>
      <c r="B257" s="28">
        <v>4</v>
      </c>
      <c r="C257" s="28"/>
      <c r="D257" s="29">
        <f t="shared" si="9"/>
        <v>4</v>
      </c>
      <c r="E257" s="28"/>
      <c r="F257" s="28"/>
      <c r="G257" s="29">
        <f t="shared" si="7"/>
        <v>4</v>
      </c>
      <c r="H257" s="30">
        <v>200</v>
      </c>
      <c r="I257" s="19">
        <f t="shared" si="8"/>
        <v>800</v>
      </c>
    </row>
    <row r="258" spans="1:9" x14ac:dyDescent="0.3">
      <c r="A258" s="28" t="s">
        <v>174</v>
      </c>
      <c r="B258" s="28">
        <v>1</v>
      </c>
      <c r="C258" s="28"/>
      <c r="D258" s="29">
        <f t="shared" si="9"/>
        <v>1</v>
      </c>
      <c r="E258" s="28"/>
      <c r="F258" s="28"/>
      <c r="G258" s="29">
        <f t="shared" si="7"/>
        <v>1</v>
      </c>
      <c r="H258" s="30">
        <v>2200</v>
      </c>
      <c r="I258" s="19">
        <f t="shared" si="8"/>
        <v>2200</v>
      </c>
    </row>
    <row r="259" spans="1:9" x14ac:dyDescent="0.3">
      <c r="A259" s="28" t="s">
        <v>224</v>
      </c>
      <c r="B259" s="28"/>
      <c r="C259" s="28"/>
      <c r="D259" s="29">
        <f t="shared" si="9"/>
        <v>0</v>
      </c>
      <c r="E259" s="28"/>
      <c r="F259" s="28"/>
      <c r="G259" s="29">
        <f t="shared" si="7"/>
        <v>0</v>
      </c>
      <c r="H259" s="30">
        <v>1800</v>
      </c>
      <c r="I259" s="19">
        <f t="shared" si="8"/>
        <v>0</v>
      </c>
    </row>
    <row r="260" spans="1:9" x14ac:dyDescent="0.3">
      <c r="A260" s="28" t="s">
        <v>229</v>
      </c>
      <c r="B260" s="28"/>
      <c r="C260" s="28"/>
      <c r="D260" s="29">
        <f t="shared" si="9"/>
        <v>0</v>
      </c>
      <c r="E260" s="28"/>
      <c r="F260" s="28"/>
      <c r="G260" s="29">
        <f t="shared" si="7"/>
        <v>0</v>
      </c>
      <c r="H260" s="30"/>
      <c r="I260" s="19">
        <f t="shared" si="8"/>
        <v>0</v>
      </c>
    </row>
    <row r="261" spans="1:9" x14ac:dyDescent="0.3">
      <c r="A261" s="28" t="s">
        <v>225</v>
      </c>
      <c r="B261" s="28"/>
      <c r="C261" s="28"/>
      <c r="D261" s="29">
        <f t="shared" si="9"/>
        <v>0</v>
      </c>
      <c r="E261" s="28"/>
      <c r="F261" s="28"/>
      <c r="G261" s="29">
        <f t="shared" si="7"/>
        <v>0</v>
      </c>
      <c r="H261" s="30">
        <v>1000</v>
      </c>
      <c r="I261" s="19">
        <f t="shared" si="8"/>
        <v>0</v>
      </c>
    </row>
    <row r="262" spans="1:9" x14ac:dyDescent="0.3">
      <c r="A262" s="28" t="s">
        <v>243</v>
      </c>
      <c r="B262" s="28"/>
      <c r="C262" s="28"/>
      <c r="D262" s="29">
        <f t="shared" si="9"/>
        <v>0</v>
      </c>
      <c r="E262" s="28"/>
      <c r="F262" s="28"/>
      <c r="G262" s="29">
        <f t="shared" si="7"/>
        <v>0</v>
      </c>
      <c r="H262" s="30"/>
      <c r="I262" s="19">
        <f t="shared" si="8"/>
        <v>0</v>
      </c>
    </row>
    <row r="263" spans="1:9" x14ac:dyDescent="0.3">
      <c r="A263" s="28" t="s">
        <v>263</v>
      </c>
      <c r="B263" s="28"/>
      <c r="C263" s="28"/>
      <c r="D263" s="29">
        <f t="shared" si="9"/>
        <v>0</v>
      </c>
      <c r="E263" s="28"/>
      <c r="F263" s="28"/>
      <c r="G263" s="29">
        <f t="shared" si="7"/>
        <v>0</v>
      </c>
      <c r="H263" s="30">
        <v>200</v>
      </c>
      <c r="I263" s="19">
        <f t="shared" si="8"/>
        <v>0</v>
      </c>
    </row>
    <row r="264" spans="1:9" x14ac:dyDescent="0.3">
      <c r="A264" s="28" t="s">
        <v>295</v>
      </c>
      <c r="B264" s="28"/>
      <c r="C264" s="28"/>
      <c r="D264" s="29">
        <f t="shared" si="9"/>
        <v>0</v>
      </c>
      <c r="E264" s="28"/>
      <c r="F264" s="28"/>
      <c r="G264" s="29">
        <f t="shared" si="7"/>
        <v>0</v>
      </c>
      <c r="H264" s="30">
        <v>190</v>
      </c>
      <c r="I264" s="19">
        <f t="shared" si="8"/>
        <v>0</v>
      </c>
    </row>
    <row r="265" spans="1:9" x14ac:dyDescent="0.3">
      <c r="A265" s="28" t="s">
        <v>319</v>
      </c>
      <c r="B265" s="28"/>
      <c r="C265" s="28"/>
      <c r="D265" s="29">
        <f t="shared" si="9"/>
        <v>0</v>
      </c>
      <c r="E265" s="28"/>
      <c r="F265" s="28"/>
      <c r="G265" s="29">
        <f t="shared" si="7"/>
        <v>0</v>
      </c>
      <c r="H265" s="30">
        <v>70</v>
      </c>
      <c r="I265" s="19">
        <f t="shared" si="8"/>
        <v>0</v>
      </c>
    </row>
    <row r="266" spans="1:9" x14ac:dyDescent="0.3">
      <c r="A266" s="28" t="s">
        <v>111</v>
      </c>
      <c r="B266" s="28"/>
      <c r="C266" s="28"/>
      <c r="D266" s="29">
        <f t="shared" si="9"/>
        <v>0</v>
      </c>
      <c r="E266" s="28"/>
      <c r="F266" s="28"/>
      <c r="G266" s="29">
        <f t="shared" si="7"/>
        <v>0</v>
      </c>
      <c r="H266" s="30">
        <v>500</v>
      </c>
      <c r="I266" s="19">
        <f t="shared" si="8"/>
        <v>0</v>
      </c>
    </row>
    <row r="267" spans="1:9" x14ac:dyDescent="0.3">
      <c r="A267" s="28" t="s">
        <v>296</v>
      </c>
      <c r="B267" s="28"/>
      <c r="C267" s="28"/>
      <c r="D267" s="29">
        <f t="shared" si="9"/>
        <v>0</v>
      </c>
      <c r="E267" s="28"/>
      <c r="F267" s="28"/>
      <c r="G267" s="29">
        <f t="shared" si="7"/>
        <v>0</v>
      </c>
      <c r="H267" s="30">
        <v>180</v>
      </c>
      <c r="I267" s="19">
        <f t="shared" si="8"/>
        <v>0</v>
      </c>
    </row>
    <row r="268" spans="1:9" x14ac:dyDescent="0.3">
      <c r="A268" s="28"/>
      <c r="B268" s="28"/>
      <c r="C268" s="28"/>
      <c r="D268" s="29">
        <f t="shared" si="9"/>
        <v>0</v>
      </c>
      <c r="E268" s="28"/>
      <c r="F268" s="28"/>
      <c r="G268" s="29">
        <f t="shared" si="7"/>
        <v>0</v>
      </c>
      <c r="H268" s="30"/>
      <c r="I268" s="19"/>
    </row>
    <row r="269" spans="1:9" x14ac:dyDescent="0.3">
      <c r="A269" s="24" t="s">
        <v>65</v>
      </c>
      <c r="B269" s="28"/>
      <c r="C269" s="28"/>
      <c r="D269" s="29">
        <f t="shared" si="9"/>
        <v>0</v>
      </c>
      <c r="E269" s="28"/>
      <c r="F269" s="28"/>
      <c r="G269" s="29">
        <f t="shared" si="7"/>
        <v>0</v>
      </c>
      <c r="H269" s="30"/>
      <c r="I269" s="19">
        <f t="shared" si="8"/>
        <v>0</v>
      </c>
    </row>
    <row r="270" spans="1:9" x14ac:dyDescent="0.3">
      <c r="A270" s="28" t="s">
        <v>304</v>
      </c>
      <c r="B270" s="28">
        <v>4</v>
      </c>
      <c r="C270" s="28"/>
      <c r="D270" s="29">
        <f t="shared" si="9"/>
        <v>4</v>
      </c>
      <c r="E270" s="28"/>
      <c r="F270" s="28"/>
      <c r="G270" s="29">
        <f t="shared" si="7"/>
        <v>4</v>
      </c>
      <c r="H270" s="30">
        <v>60</v>
      </c>
      <c r="I270" s="19">
        <f t="shared" si="8"/>
        <v>240</v>
      </c>
    </row>
    <row r="271" spans="1:9" x14ac:dyDescent="0.3">
      <c r="A271" s="28" t="s">
        <v>66</v>
      </c>
      <c r="B271" s="28"/>
      <c r="C271" s="28"/>
      <c r="D271" s="29">
        <f t="shared" si="9"/>
        <v>0</v>
      </c>
      <c r="E271" s="28"/>
      <c r="F271" s="28"/>
      <c r="G271" s="29">
        <f t="shared" si="7"/>
        <v>0</v>
      </c>
      <c r="H271" s="30">
        <v>120</v>
      </c>
      <c r="I271" s="19">
        <f t="shared" si="8"/>
        <v>0</v>
      </c>
    </row>
    <row r="272" spans="1:9" x14ac:dyDescent="0.3">
      <c r="A272" s="28" t="s">
        <v>149</v>
      </c>
      <c r="B272" s="28">
        <v>7</v>
      </c>
      <c r="C272" s="28"/>
      <c r="D272" s="29">
        <f t="shared" si="9"/>
        <v>7</v>
      </c>
      <c r="E272" s="28"/>
      <c r="F272" s="28"/>
      <c r="G272" s="29">
        <f t="shared" si="7"/>
        <v>7</v>
      </c>
      <c r="H272" s="30">
        <v>125</v>
      </c>
      <c r="I272" s="19">
        <f t="shared" si="8"/>
        <v>875</v>
      </c>
    </row>
    <row r="273" spans="1:9" x14ac:dyDescent="0.3">
      <c r="A273" s="28" t="s">
        <v>148</v>
      </c>
      <c r="B273" s="28">
        <v>10</v>
      </c>
      <c r="C273" s="28"/>
      <c r="D273" s="29">
        <f t="shared" si="9"/>
        <v>10</v>
      </c>
      <c r="E273" s="28"/>
      <c r="F273" s="28"/>
      <c r="G273" s="29">
        <f t="shared" si="7"/>
        <v>10</v>
      </c>
      <c r="H273" s="30">
        <v>210</v>
      </c>
      <c r="I273" s="19">
        <f t="shared" si="8"/>
        <v>2100</v>
      </c>
    </row>
    <row r="274" spans="1:9" x14ac:dyDescent="0.3">
      <c r="A274" s="28" t="s">
        <v>100</v>
      </c>
      <c r="B274" s="28">
        <v>280</v>
      </c>
      <c r="C274" s="28"/>
      <c r="D274" s="29">
        <f t="shared" si="9"/>
        <v>280</v>
      </c>
      <c r="E274" s="28"/>
      <c r="F274" s="28">
        <v>120</v>
      </c>
      <c r="G274" s="29">
        <f t="shared" si="7"/>
        <v>160</v>
      </c>
      <c r="H274" s="31">
        <v>70</v>
      </c>
      <c r="I274" s="19">
        <f t="shared" si="8"/>
        <v>11200</v>
      </c>
    </row>
    <row r="275" spans="1:9" x14ac:dyDescent="0.3">
      <c r="A275" s="28" t="s">
        <v>101</v>
      </c>
      <c r="B275" s="28">
        <v>240</v>
      </c>
      <c r="C275" s="28"/>
      <c r="D275" s="29">
        <f t="shared" si="9"/>
        <v>240</v>
      </c>
      <c r="E275" s="28"/>
      <c r="F275" s="28">
        <v>20</v>
      </c>
      <c r="G275" s="29">
        <f t="shared" si="7"/>
        <v>220</v>
      </c>
      <c r="H275" s="31">
        <v>70</v>
      </c>
      <c r="I275" s="19">
        <f t="shared" si="8"/>
        <v>15400</v>
      </c>
    </row>
    <row r="276" spans="1:9" x14ac:dyDescent="0.3">
      <c r="A276" s="28" t="s">
        <v>102</v>
      </c>
      <c r="B276" s="28">
        <v>164</v>
      </c>
      <c r="C276" s="28"/>
      <c r="D276" s="29">
        <f t="shared" si="9"/>
        <v>164</v>
      </c>
      <c r="E276" s="28"/>
      <c r="F276" s="28"/>
      <c r="G276" s="29">
        <f t="shared" si="7"/>
        <v>164</v>
      </c>
      <c r="H276" s="31">
        <v>70</v>
      </c>
      <c r="I276" s="19">
        <f t="shared" si="8"/>
        <v>11480</v>
      </c>
    </row>
    <row r="277" spans="1:9" x14ac:dyDescent="0.3">
      <c r="A277" s="28" t="s">
        <v>103</v>
      </c>
      <c r="B277" s="28">
        <v>1</v>
      </c>
      <c r="C277" s="28"/>
      <c r="D277" s="29">
        <f t="shared" si="9"/>
        <v>1</v>
      </c>
      <c r="E277" s="28"/>
      <c r="F277" s="28"/>
      <c r="G277" s="29">
        <f t="shared" si="7"/>
        <v>1</v>
      </c>
      <c r="H277" s="34">
        <v>3600</v>
      </c>
      <c r="I277" s="19">
        <f t="shared" si="8"/>
        <v>3600</v>
      </c>
    </row>
    <row r="278" spans="1:9" x14ac:dyDescent="0.3">
      <c r="A278" s="28" t="s">
        <v>104</v>
      </c>
      <c r="B278" s="28"/>
      <c r="C278" s="28"/>
      <c r="D278" s="29">
        <f t="shared" si="9"/>
        <v>0</v>
      </c>
      <c r="E278" s="28"/>
      <c r="F278" s="28"/>
      <c r="G278" s="29">
        <f t="shared" si="7"/>
        <v>0</v>
      </c>
      <c r="H278" s="30">
        <v>1700</v>
      </c>
      <c r="I278" s="19">
        <f t="shared" si="8"/>
        <v>0</v>
      </c>
    </row>
    <row r="279" spans="1:9" x14ac:dyDescent="0.3">
      <c r="A279" s="28" t="s">
        <v>338</v>
      </c>
      <c r="B279" s="28"/>
      <c r="C279" s="28"/>
      <c r="D279" s="29">
        <f t="shared" si="9"/>
        <v>0</v>
      </c>
      <c r="E279" s="28"/>
      <c r="F279" s="28"/>
      <c r="G279" s="29">
        <f t="shared" si="7"/>
        <v>0</v>
      </c>
      <c r="H279" s="30">
        <v>1850</v>
      </c>
      <c r="I279" s="19">
        <f t="shared" si="8"/>
        <v>0</v>
      </c>
    </row>
    <row r="280" spans="1:9" x14ac:dyDescent="0.3">
      <c r="A280" s="28" t="s">
        <v>105</v>
      </c>
      <c r="B280" s="28"/>
      <c r="C280" s="28"/>
      <c r="D280" s="29">
        <f t="shared" si="9"/>
        <v>0</v>
      </c>
      <c r="E280" s="28"/>
      <c r="F280" s="28"/>
      <c r="G280" s="29">
        <f t="shared" si="7"/>
        <v>0</v>
      </c>
      <c r="H280" s="30">
        <v>1850</v>
      </c>
      <c r="I280" s="19">
        <f t="shared" si="8"/>
        <v>0</v>
      </c>
    </row>
    <row r="281" spans="1:9" x14ac:dyDescent="0.3">
      <c r="A281" s="28" t="s">
        <v>337</v>
      </c>
      <c r="B281" s="28"/>
      <c r="C281" s="28"/>
      <c r="D281" s="29">
        <f t="shared" si="9"/>
        <v>0</v>
      </c>
      <c r="E281" s="28"/>
      <c r="F281" s="28"/>
      <c r="G281" s="29">
        <f t="shared" si="7"/>
        <v>0</v>
      </c>
      <c r="H281" s="30">
        <v>1850</v>
      </c>
      <c r="I281" s="19">
        <f t="shared" si="8"/>
        <v>0</v>
      </c>
    </row>
    <row r="282" spans="1:9" x14ac:dyDescent="0.3">
      <c r="A282" s="28" t="s">
        <v>297</v>
      </c>
      <c r="B282" s="28"/>
      <c r="C282" s="28"/>
      <c r="D282" s="29">
        <f t="shared" si="9"/>
        <v>0</v>
      </c>
      <c r="E282" s="28"/>
      <c r="F282" s="28"/>
      <c r="G282" s="29">
        <f t="shared" si="7"/>
        <v>0</v>
      </c>
      <c r="H282" s="30">
        <v>1850</v>
      </c>
      <c r="I282" s="19">
        <f t="shared" si="8"/>
        <v>0</v>
      </c>
    </row>
    <row r="283" spans="1:9" x14ac:dyDescent="0.3">
      <c r="A283" s="28" t="s">
        <v>106</v>
      </c>
      <c r="B283" s="28"/>
      <c r="C283" s="28"/>
      <c r="D283" s="29">
        <f t="shared" si="9"/>
        <v>0</v>
      </c>
      <c r="E283" s="28"/>
      <c r="F283" s="28"/>
      <c r="G283" s="29">
        <f t="shared" si="7"/>
        <v>0</v>
      </c>
      <c r="H283" s="30">
        <v>130</v>
      </c>
      <c r="I283" s="19">
        <f t="shared" si="8"/>
        <v>0</v>
      </c>
    </row>
    <row r="284" spans="1:9" x14ac:dyDescent="0.3">
      <c r="A284" s="28" t="s">
        <v>260</v>
      </c>
      <c r="B284" s="28"/>
      <c r="C284" s="28"/>
      <c r="D284" s="29">
        <f t="shared" si="9"/>
        <v>0</v>
      </c>
      <c r="E284" s="28"/>
      <c r="F284" s="28"/>
      <c r="G284" s="29">
        <f t="shared" si="7"/>
        <v>0</v>
      </c>
      <c r="H284" s="30">
        <v>130</v>
      </c>
      <c r="I284" s="19">
        <f t="shared" si="8"/>
        <v>0</v>
      </c>
    </row>
    <row r="285" spans="1:9" x14ac:dyDescent="0.3">
      <c r="A285" s="28" t="s">
        <v>344</v>
      </c>
      <c r="B285" s="28"/>
      <c r="C285" s="28"/>
      <c r="D285" s="29">
        <f t="shared" si="9"/>
        <v>0</v>
      </c>
      <c r="E285" s="28"/>
      <c r="F285" s="28"/>
      <c r="G285" s="29">
        <f t="shared" si="7"/>
        <v>0</v>
      </c>
      <c r="H285" s="30">
        <v>4500</v>
      </c>
      <c r="I285" s="19">
        <f t="shared" si="8"/>
        <v>0</v>
      </c>
    </row>
    <row r="286" spans="1:9" x14ac:dyDescent="0.3">
      <c r="A286" s="28" t="s">
        <v>345</v>
      </c>
      <c r="B286" s="28"/>
      <c r="C286" s="28"/>
      <c r="D286" s="29">
        <f t="shared" si="9"/>
        <v>0</v>
      </c>
      <c r="E286" s="28"/>
      <c r="F286" s="28"/>
      <c r="G286" s="29">
        <f t="shared" si="7"/>
        <v>0</v>
      </c>
      <c r="H286" s="30">
        <v>5000</v>
      </c>
      <c r="I286" s="19">
        <f t="shared" si="8"/>
        <v>0</v>
      </c>
    </row>
    <row r="287" spans="1:9" x14ac:dyDescent="0.3">
      <c r="A287" s="28" t="s">
        <v>210</v>
      </c>
      <c r="B287" s="28"/>
      <c r="C287" s="28"/>
      <c r="D287" s="29">
        <f t="shared" si="9"/>
        <v>0</v>
      </c>
      <c r="E287" s="28"/>
      <c r="F287" s="28"/>
      <c r="G287" s="29">
        <f t="shared" si="7"/>
        <v>0</v>
      </c>
      <c r="H287" s="30">
        <v>100</v>
      </c>
      <c r="I287" s="19">
        <f t="shared" si="8"/>
        <v>0</v>
      </c>
    </row>
    <row r="288" spans="1:9" x14ac:dyDescent="0.3">
      <c r="A288" s="28" t="s">
        <v>107</v>
      </c>
      <c r="B288" s="28"/>
      <c r="C288" s="28"/>
      <c r="D288" s="29">
        <f t="shared" si="9"/>
        <v>0</v>
      </c>
      <c r="E288" s="28"/>
      <c r="F288" s="28"/>
      <c r="G288" s="29">
        <f t="shared" si="7"/>
        <v>0</v>
      </c>
      <c r="H288" s="30">
        <v>1250</v>
      </c>
      <c r="I288" s="19">
        <f t="shared" si="8"/>
        <v>0</v>
      </c>
    </row>
    <row r="289" spans="1:9" x14ac:dyDescent="0.3">
      <c r="A289" s="28" t="s">
        <v>108</v>
      </c>
      <c r="B289" s="28">
        <v>1</v>
      </c>
      <c r="C289" s="28"/>
      <c r="D289" s="29">
        <f t="shared" si="9"/>
        <v>1</v>
      </c>
      <c r="E289" s="28"/>
      <c r="F289" s="28"/>
      <c r="G289" s="29">
        <f t="shared" si="7"/>
        <v>1</v>
      </c>
      <c r="H289" s="30">
        <v>25</v>
      </c>
      <c r="I289" s="19">
        <f t="shared" si="8"/>
        <v>25</v>
      </c>
    </row>
    <row r="290" spans="1:9" x14ac:dyDescent="0.3">
      <c r="A290" s="28" t="s">
        <v>109</v>
      </c>
      <c r="B290" s="28"/>
      <c r="C290" s="28"/>
      <c r="D290" s="29">
        <f t="shared" ref="D290:D333" si="10">B290+C290</f>
        <v>0</v>
      </c>
      <c r="E290" s="28"/>
      <c r="F290" s="28"/>
      <c r="G290" s="29">
        <f t="shared" si="7"/>
        <v>0</v>
      </c>
      <c r="H290" s="30">
        <v>1200</v>
      </c>
      <c r="I290" s="19">
        <f t="shared" si="8"/>
        <v>0</v>
      </c>
    </row>
    <row r="291" spans="1:9" x14ac:dyDescent="0.3">
      <c r="A291" s="28" t="s">
        <v>110</v>
      </c>
      <c r="B291" s="28"/>
      <c r="C291" s="28"/>
      <c r="D291" s="29">
        <f t="shared" si="10"/>
        <v>0</v>
      </c>
      <c r="E291" s="28"/>
      <c r="F291" s="28"/>
      <c r="G291" s="29">
        <f t="shared" si="7"/>
        <v>0</v>
      </c>
      <c r="H291" s="30"/>
      <c r="I291" s="19">
        <f t="shared" si="8"/>
        <v>0</v>
      </c>
    </row>
    <row r="292" spans="1:9" x14ac:dyDescent="0.3">
      <c r="A292" s="28" t="s">
        <v>111</v>
      </c>
      <c r="B292" s="28"/>
      <c r="C292" s="28"/>
      <c r="D292" s="29">
        <f t="shared" si="10"/>
        <v>0</v>
      </c>
      <c r="E292" s="28"/>
      <c r="F292" s="28"/>
      <c r="G292" s="29">
        <f t="shared" si="7"/>
        <v>0</v>
      </c>
      <c r="H292" s="30">
        <v>2000</v>
      </c>
      <c r="I292" s="19">
        <f t="shared" si="8"/>
        <v>0</v>
      </c>
    </row>
    <row r="293" spans="1:9" x14ac:dyDescent="0.3">
      <c r="A293" s="28" t="s">
        <v>234</v>
      </c>
      <c r="B293" s="28">
        <v>3</v>
      </c>
      <c r="C293" s="28"/>
      <c r="D293" s="29">
        <f t="shared" si="10"/>
        <v>3</v>
      </c>
      <c r="E293" s="28"/>
      <c r="F293" s="28">
        <v>1</v>
      </c>
      <c r="G293" s="29">
        <f t="shared" si="7"/>
        <v>2</v>
      </c>
      <c r="H293" s="30">
        <v>600</v>
      </c>
      <c r="I293" s="19">
        <f t="shared" si="8"/>
        <v>1200</v>
      </c>
    </row>
    <row r="294" spans="1:9" x14ac:dyDescent="0.3">
      <c r="A294" s="28" t="s">
        <v>112</v>
      </c>
      <c r="B294" s="28"/>
      <c r="C294" s="28"/>
      <c r="D294" s="29">
        <f t="shared" si="10"/>
        <v>0</v>
      </c>
      <c r="E294" s="28"/>
      <c r="F294" s="28"/>
      <c r="G294" s="29">
        <f t="shared" si="7"/>
        <v>0</v>
      </c>
      <c r="H294" s="30">
        <v>1000</v>
      </c>
      <c r="I294" s="19">
        <f t="shared" si="8"/>
        <v>0</v>
      </c>
    </row>
    <row r="295" spans="1:9" x14ac:dyDescent="0.3">
      <c r="A295" s="28" t="s">
        <v>115</v>
      </c>
      <c r="B295" s="28">
        <v>110</v>
      </c>
      <c r="C295" s="28"/>
      <c r="D295" s="29">
        <f t="shared" si="10"/>
        <v>110</v>
      </c>
      <c r="E295" s="28"/>
      <c r="F295" s="28"/>
      <c r="G295" s="29">
        <f t="shared" si="7"/>
        <v>110</v>
      </c>
      <c r="H295" s="30">
        <v>75</v>
      </c>
      <c r="I295" s="19">
        <f t="shared" si="8"/>
        <v>8250</v>
      </c>
    </row>
    <row r="296" spans="1:9" x14ac:dyDescent="0.3">
      <c r="A296" s="28" t="s">
        <v>298</v>
      </c>
      <c r="B296" s="28"/>
      <c r="C296" s="28"/>
      <c r="D296" s="29">
        <f t="shared" si="10"/>
        <v>0</v>
      </c>
      <c r="E296" s="28"/>
      <c r="F296" s="28"/>
      <c r="G296" s="29">
        <f t="shared" si="7"/>
        <v>0</v>
      </c>
      <c r="H296" s="30">
        <v>76</v>
      </c>
      <c r="I296" s="19">
        <f t="shared" si="8"/>
        <v>0</v>
      </c>
    </row>
    <row r="297" spans="1:9" x14ac:dyDescent="0.3">
      <c r="A297" s="28" t="s">
        <v>114</v>
      </c>
      <c r="B297" s="28">
        <v>10</v>
      </c>
      <c r="C297" s="28"/>
      <c r="D297" s="29">
        <f t="shared" si="10"/>
        <v>10</v>
      </c>
      <c r="E297" s="28"/>
      <c r="F297" s="28"/>
      <c r="G297" s="29">
        <f t="shared" ref="G297:G333" si="11">D297-E297-F297</f>
        <v>10</v>
      </c>
      <c r="H297" s="30">
        <v>350</v>
      </c>
      <c r="I297" s="19">
        <f t="shared" si="8"/>
        <v>3500</v>
      </c>
    </row>
    <row r="298" spans="1:9" x14ac:dyDescent="0.3">
      <c r="A298" s="28" t="s">
        <v>116</v>
      </c>
      <c r="B298" s="28">
        <v>50</v>
      </c>
      <c r="C298" s="28"/>
      <c r="D298" s="29">
        <f t="shared" si="10"/>
        <v>50</v>
      </c>
      <c r="E298" s="28"/>
      <c r="F298" s="28">
        <v>25</v>
      </c>
      <c r="G298" s="29">
        <f t="shared" si="11"/>
        <v>25</v>
      </c>
      <c r="H298" s="30">
        <v>80</v>
      </c>
      <c r="I298" s="19">
        <f t="shared" si="8"/>
        <v>2000</v>
      </c>
    </row>
    <row r="299" spans="1:9" x14ac:dyDescent="0.3">
      <c r="A299" s="28" t="s">
        <v>119</v>
      </c>
      <c r="B299" s="28">
        <v>13</v>
      </c>
      <c r="C299" s="28"/>
      <c r="D299" s="29">
        <f t="shared" si="10"/>
        <v>13</v>
      </c>
      <c r="E299" s="28"/>
      <c r="F299" s="28">
        <v>6</v>
      </c>
      <c r="G299" s="29">
        <f t="shared" si="11"/>
        <v>7</v>
      </c>
      <c r="H299" s="30">
        <v>130</v>
      </c>
      <c r="I299" s="19">
        <f t="shared" si="8"/>
        <v>910</v>
      </c>
    </row>
    <row r="300" spans="1:9" x14ac:dyDescent="0.3">
      <c r="A300" s="28" t="s">
        <v>120</v>
      </c>
      <c r="B300" s="28">
        <v>500</v>
      </c>
      <c r="C300" s="28"/>
      <c r="D300" s="29">
        <f t="shared" si="10"/>
        <v>500</v>
      </c>
      <c r="E300" s="28"/>
      <c r="F300" s="28">
        <v>2</v>
      </c>
      <c r="G300" s="29">
        <f t="shared" si="11"/>
        <v>498</v>
      </c>
      <c r="H300" s="30">
        <v>65</v>
      </c>
      <c r="I300" s="19">
        <f t="shared" si="8"/>
        <v>32370</v>
      </c>
    </row>
    <row r="301" spans="1:9" x14ac:dyDescent="0.3">
      <c r="A301" s="28" t="s">
        <v>308</v>
      </c>
      <c r="B301" s="28"/>
      <c r="C301" s="28"/>
      <c r="D301" s="29">
        <f t="shared" si="10"/>
        <v>0</v>
      </c>
      <c r="E301" s="28"/>
      <c r="F301" s="28"/>
      <c r="G301" s="29">
        <f t="shared" si="11"/>
        <v>0</v>
      </c>
      <c r="H301" s="30">
        <v>100</v>
      </c>
      <c r="I301" s="19">
        <f t="shared" si="8"/>
        <v>0</v>
      </c>
    </row>
    <row r="302" spans="1:9" x14ac:dyDescent="0.3">
      <c r="A302" s="28" t="s">
        <v>309</v>
      </c>
      <c r="B302" s="28"/>
      <c r="C302" s="28"/>
      <c r="D302" s="29">
        <f t="shared" si="10"/>
        <v>0</v>
      </c>
      <c r="E302" s="28"/>
      <c r="F302" s="28"/>
      <c r="G302" s="29">
        <f t="shared" si="11"/>
        <v>0</v>
      </c>
      <c r="H302" s="30">
        <v>1500</v>
      </c>
      <c r="I302" s="19">
        <f t="shared" si="8"/>
        <v>0</v>
      </c>
    </row>
    <row r="303" spans="1:9" x14ac:dyDescent="0.3">
      <c r="A303" s="28" t="s">
        <v>317</v>
      </c>
      <c r="B303" s="28"/>
      <c r="C303" s="28"/>
      <c r="D303" s="29">
        <f t="shared" si="10"/>
        <v>0</v>
      </c>
      <c r="E303" s="28"/>
      <c r="F303" s="28"/>
      <c r="G303" s="29">
        <f t="shared" si="11"/>
        <v>0</v>
      </c>
      <c r="H303" s="30">
        <v>600</v>
      </c>
      <c r="I303" s="19">
        <f t="shared" si="8"/>
        <v>0</v>
      </c>
    </row>
    <row r="304" spans="1:9" x14ac:dyDescent="0.3">
      <c r="A304" s="28" t="s">
        <v>318</v>
      </c>
      <c r="B304" s="28"/>
      <c r="C304" s="28"/>
      <c r="D304" s="29">
        <f t="shared" si="10"/>
        <v>0</v>
      </c>
      <c r="E304" s="28"/>
      <c r="F304" s="28"/>
      <c r="G304" s="29">
        <f t="shared" si="11"/>
        <v>0</v>
      </c>
      <c r="H304" s="30">
        <v>500</v>
      </c>
      <c r="I304" s="19">
        <f t="shared" si="8"/>
        <v>0</v>
      </c>
    </row>
    <row r="305" spans="1:9" x14ac:dyDescent="0.3">
      <c r="A305" s="28" t="s">
        <v>121</v>
      </c>
      <c r="B305" s="28"/>
      <c r="C305" s="28"/>
      <c r="D305" s="29">
        <f t="shared" si="10"/>
        <v>0</v>
      </c>
      <c r="E305" s="28"/>
      <c r="F305" s="28"/>
      <c r="G305" s="29">
        <f t="shared" si="11"/>
        <v>0</v>
      </c>
      <c r="H305" s="30">
        <v>25</v>
      </c>
      <c r="I305" s="19">
        <f t="shared" si="8"/>
        <v>0</v>
      </c>
    </row>
    <row r="306" spans="1:9" x14ac:dyDescent="0.3">
      <c r="A306" s="28" t="s">
        <v>133</v>
      </c>
      <c r="B306" s="28"/>
      <c r="C306" s="28"/>
      <c r="D306" s="29">
        <f t="shared" si="10"/>
        <v>0</v>
      </c>
      <c r="E306" s="28"/>
      <c r="F306" s="28"/>
      <c r="G306" s="29">
        <f t="shared" si="11"/>
        <v>0</v>
      </c>
      <c r="H306" s="30">
        <v>1000</v>
      </c>
      <c r="I306" s="19">
        <f t="shared" si="8"/>
        <v>0</v>
      </c>
    </row>
    <row r="307" spans="1:9" x14ac:dyDescent="0.3">
      <c r="A307" s="28" t="s">
        <v>138</v>
      </c>
      <c r="B307" s="28">
        <v>50</v>
      </c>
      <c r="C307" s="28"/>
      <c r="D307" s="29">
        <f t="shared" si="10"/>
        <v>50</v>
      </c>
      <c r="E307" s="28"/>
      <c r="F307" s="28">
        <v>40</v>
      </c>
      <c r="G307" s="29">
        <f t="shared" si="11"/>
        <v>10</v>
      </c>
      <c r="H307" s="30">
        <v>10</v>
      </c>
      <c r="I307" s="19">
        <f t="shared" ref="I307:I333" si="12">G307*H307</f>
        <v>100</v>
      </c>
    </row>
    <row r="308" spans="1:9" x14ac:dyDescent="0.3">
      <c r="A308" s="28" t="s">
        <v>139</v>
      </c>
      <c r="B308" s="28"/>
      <c r="C308" s="28"/>
      <c r="D308" s="29">
        <f t="shared" si="10"/>
        <v>0</v>
      </c>
      <c r="E308" s="28"/>
      <c r="F308" s="28"/>
      <c r="G308" s="29">
        <f t="shared" si="11"/>
        <v>0</v>
      </c>
      <c r="H308" s="30">
        <v>6</v>
      </c>
      <c r="I308" s="19">
        <f t="shared" si="12"/>
        <v>0</v>
      </c>
    </row>
    <row r="309" spans="1:9" x14ac:dyDescent="0.3">
      <c r="A309" s="28" t="s">
        <v>146</v>
      </c>
      <c r="B309" s="28"/>
      <c r="C309" s="28"/>
      <c r="D309" s="29">
        <f t="shared" si="10"/>
        <v>0</v>
      </c>
      <c r="E309" s="28"/>
      <c r="F309" s="28"/>
      <c r="G309" s="29">
        <f t="shared" si="11"/>
        <v>0</v>
      </c>
      <c r="H309" s="30">
        <v>700</v>
      </c>
      <c r="I309" s="19">
        <f t="shared" si="12"/>
        <v>0</v>
      </c>
    </row>
    <row r="310" spans="1:9" x14ac:dyDescent="0.3">
      <c r="A310" s="28" t="s">
        <v>253</v>
      </c>
      <c r="B310" s="28"/>
      <c r="C310" s="28"/>
      <c r="D310" s="29">
        <f t="shared" si="10"/>
        <v>0</v>
      </c>
      <c r="E310" s="28"/>
      <c r="F310" s="28"/>
      <c r="G310" s="29">
        <f t="shared" si="11"/>
        <v>0</v>
      </c>
      <c r="H310" s="30">
        <v>700</v>
      </c>
      <c r="I310" s="19">
        <f t="shared" si="12"/>
        <v>0</v>
      </c>
    </row>
    <row r="311" spans="1:9" x14ac:dyDescent="0.3">
      <c r="A311" s="28" t="s">
        <v>262</v>
      </c>
      <c r="B311" s="28"/>
      <c r="C311" s="28"/>
      <c r="D311" s="29">
        <f t="shared" si="10"/>
        <v>0</v>
      </c>
      <c r="E311" s="28"/>
      <c r="F311" s="28"/>
      <c r="G311" s="29">
        <f t="shared" si="11"/>
        <v>0</v>
      </c>
      <c r="H311" s="30">
        <v>8000</v>
      </c>
      <c r="I311" s="19">
        <f t="shared" si="12"/>
        <v>0</v>
      </c>
    </row>
    <row r="312" spans="1:9" x14ac:dyDescent="0.3">
      <c r="A312" s="28" t="s">
        <v>140</v>
      </c>
      <c r="B312" s="28"/>
      <c r="C312" s="28"/>
      <c r="D312" s="29">
        <f t="shared" si="10"/>
        <v>0</v>
      </c>
      <c r="E312" s="28"/>
      <c r="F312" s="28"/>
      <c r="G312" s="29">
        <f t="shared" si="11"/>
        <v>0</v>
      </c>
      <c r="H312" s="30">
        <v>6</v>
      </c>
      <c r="I312" s="19">
        <f t="shared" si="12"/>
        <v>0</v>
      </c>
    </row>
    <row r="313" spans="1:9" x14ac:dyDescent="0.3">
      <c r="A313" s="28" t="s">
        <v>147</v>
      </c>
      <c r="B313" s="28"/>
      <c r="C313" s="28"/>
      <c r="D313" s="29">
        <f t="shared" si="10"/>
        <v>0</v>
      </c>
      <c r="E313" s="28"/>
      <c r="F313" s="28"/>
      <c r="G313" s="29">
        <f t="shared" si="11"/>
        <v>0</v>
      </c>
      <c r="H313" s="30">
        <v>4000</v>
      </c>
      <c r="I313" s="19">
        <f t="shared" si="12"/>
        <v>0</v>
      </c>
    </row>
    <row r="314" spans="1:9" x14ac:dyDescent="0.3">
      <c r="A314" s="28" t="s">
        <v>237</v>
      </c>
      <c r="B314" s="28"/>
      <c r="C314" s="28"/>
      <c r="D314" s="29">
        <f t="shared" si="10"/>
        <v>0</v>
      </c>
      <c r="E314" s="28"/>
      <c r="F314" s="28"/>
      <c r="G314" s="29">
        <f t="shared" si="11"/>
        <v>0</v>
      </c>
      <c r="H314" s="30">
        <v>85</v>
      </c>
      <c r="I314" s="19">
        <f t="shared" si="12"/>
        <v>0</v>
      </c>
    </row>
    <row r="315" spans="1:9" x14ac:dyDescent="0.3">
      <c r="A315" s="28" t="s">
        <v>144</v>
      </c>
      <c r="B315" s="28">
        <v>1</v>
      </c>
      <c r="C315" s="28"/>
      <c r="D315" s="29">
        <f t="shared" si="10"/>
        <v>1</v>
      </c>
      <c r="E315" s="28"/>
      <c r="F315" s="28">
        <v>1</v>
      </c>
      <c r="G315" s="29">
        <f t="shared" si="11"/>
        <v>0</v>
      </c>
      <c r="H315" s="30">
        <v>2500</v>
      </c>
      <c r="I315" s="19">
        <f t="shared" si="12"/>
        <v>0</v>
      </c>
    </row>
    <row r="316" spans="1:9" x14ac:dyDescent="0.3">
      <c r="A316" s="28" t="s">
        <v>145</v>
      </c>
      <c r="B316" s="28"/>
      <c r="C316" s="28"/>
      <c r="D316" s="29">
        <f t="shared" si="10"/>
        <v>0</v>
      </c>
      <c r="E316" s="28"/>
      <c r="F316" s="28"/>
      <c r="G316" s="29">
        <f t="shared" si="11"/>
        <v>0</v>
      </c>
      <c r="H316" s="30">
        <v>3500</v>
      </c>
      <c r="I316" s="19">
        <f t="shared" si="12"/>
        <v>0</v>
      </c>
    </row>
    <row r="317" spans="1:9" x14ac:dyDescent="0.3">
      <c r="A317" s="28" t="s">
        <v>228</v>
      </c>
      <c r="B317" s="28"/>
      <c r="C317" s="28"/>
      <c r="D317" s="29">
        <f t="shared" si="10"/>
        <v>0</v>
      </c>
      <c r="E317" s="28"/>
      <c r="F317" s="28"/>
      <c r="G317" s="29">
        <f t="shared" si="11"/>
        <v>0</v>
      </c>
      <c r="H317" s="30">
        <v>100</v>
      </c>
      <c r="I317" s="19">
        <f t="shared" si="12"/>
        <v>0</v>
      </c>
    </row>
    <row r="318" spans="1:9" x14ac:dyDescent="0.3">
      <c r="A318" s="28" t="s">
        <v>340</v>
      </c>
      <c r="B318" s="28"/>
      <c r="C318" s="28"/>
      <c r="D318" s="29">
        <f t="shared" si="10"/>
        <v>0</v>
      </c>
      <c r="E318" s="28"/>
      <c r="F318" s="28"/>
      <c r="G318" s="29">
        <f t="shared" si="11"/>
        <v>0</v>
      </c>
      <c r="H318" s="30">
        <v>1400</v>
      </c>
      <c r="I318" s="19">
        <f t="shared" si="12"/>
        <v>0</v>
      </c>
    </row>
    <row r="319" spans="1:9" x14ac:dyDescent="0.3">
      <c r="A319" s="28" t="s">
        <v>341</v>
      </c>
      <c r="B319" s="28"/>
      <c r="C319" s="28"/>
      <c r="D319" s="29">
        <f t="shared" si="10"/>
        <v>0</v>
      </c>
      <c r="E319" s="28"/>
      <c r="F319" s="28"/>
      <c r="G319" s="29">
        <f t="shared" si="11"/>
        <v>0</v>
      </c>
      <c r="H319" s="30">
        <v>2200</v>
      </c>
      <c r="I319" s="19">
        <f t="shared" si="12"/>
        <v>0</v>
      </c>
    </row>
    <row r="320" spans="1:9" x14ac:dyDescent="0.3">
      <c r="A320" s="28" t="s">
        <v>209</v>
      </c>
      <c r="B320" s="28"/>
      <c r="C320" s="28"/>
      <c r="D320" s="29">
        <f t="shared" si="10"/>
        <v>0</v>
      </c>
      <c r="E320" s="28"/>
      <c r="F320" s="28"/>
      <c r="G320" s="29">
        <f t="shared" si="11"/>
        <v>0</v>
      </c>
      <c r="H320" s="30">
        <v>30</v>
      </c>
      <c r="I320" s="19">
        <f t="shared" si="12"/>
        <v>0</v>
      </c>
    </row>
    <row r="321" spans="1:9" x14ac:dyDescent="0.3">
      <c r="A321" s="28" t="s">
        <v>261</v>
      </c>
      <c r="B321" s="28"/>
      <c r="C321" s="28"/>
      <c r="D321" s="29">
        <f t="shared" si="10"/>
        <v>0</v>
      </c>
      <c r="E321" s="28"/>
      <c r="F321" s="28"/>
      <c r="G321" s="29">
        <f t="shared" si="11"/>
        <v>0</v>
      </c>
      <c r="H321" s="30">
        <v>32</v>
      </c>
      <c r="I321" s="19">
        <f t="shared" si="12"/>
        <v>0</v>
      </c>
    </row>
    <row r="322" spans="1:9" x14ac:dyDescent="0.3">
      <c r="A322" s="28" t="s">
        <v>244</v>
      </c>
      <c r="B322" s="28"/>
      <c r="C322" s="28"/>
      <c r="D322" s="29">
        <f t="shared" si="10"/>
        <v>0</v>
      </c>
      <c r="E322" s="28"/>
      <c r="F322" s="28"/>
      <c r="G322" s="29">
        <f t="shared" si="11"/>
        <v>0</v>
      </c>
      <c r="H322" s="30">
        <v>2000</v>
      </c>
      <c r="I322" s="19">
        <f t="shared" si="12"/>
        <v>0</v>
      </c>
    </row>
    <row r="323" spans="1:9" x14ac:dyDescent="0.3">
      <c r="A323" s="28" t="s">
        <v>281</v>
      </c>
      <c r="B323" s="28"/>
      <c r="C323" s="28"/>
      <c r="D323" s="29">
        <f t="shared" si="10"/>
        <v>0</v>
      </c>
      <c r="E323" s="28"/>
      <c r="F323" s="28"/>
      <c r="G323" s="29">
        <f t="shared" si="11"/>
        <v>0</v>
      </c>
      <c r="H323" s="30">
        <v>1450</v>
      </c>
      <c r="I323" s="19">
        <f t="shared" si="12"/>
        <v>0</v>
      </c>
    </row>
    <row r="324" spans="1:9" x14ac:dyDescent="0.3">
      <c r="A324" s="28" t="s">
        <v>231</v>
      </c>
      <c r="B324" s="28">
        <v>7</v>
      </c>
      <c r="C324" s="28"/>
      <c r="D324" s="29">
        <f t="shared" si="10"/>
        <v>7</v>
      </c>
      <c r="E324" s="28"/>
      <c r="F324" s="28">
        <v>7</v>
      </c>
      <c r="G324" s="29">
        <f t="shared" si="11"/>
        <v>0</v>
      </c>
      <c r="H324" s="30">
        <v>500</v>
      </c>
      <c r="I324" s="19">
        <f t="shared" si="12"/>
        <v>0</v>
      </c>
    </row>
    <row r="325" spans="1:9" x14ac:dyDescent="0.3">
      <c r="A325" s="28" t="s">
        <v>232</v>
      </c>
      <c r="B325" s="28">
        <v>9</v>
      </c>
      <c r="C325" s="28"/>
      <c r="D325" s="29">
        <f t="shared" si="10"/>
        <v>9</v>
      </c>
      <c r="E325" s="28"/>
      <c r="F325" s="28">
        <v>8</v>
      </c>
      <c r="G325" s="29">
        <f t="shared" si="11"/>
        <v>1</v>
      </c>
      <c r="H325" s="30">
        <v>500</v>
      </c>
      <c r="I325" s="19">
        <f t="shared" si="12"/>
        <v>500</v>
      </c>
    </row>
    <row r="326" spans="1:9" x14ac:dyDescent="0.3">
      <c r="A326" s="28" t="s">
        <v>227</v>
      </c>
      <c r="B326" s="28">
        <v>10</v>
      </c>
      <c r="C326" s="28"/>
      <c r="D326" s="29">
        <f t="shared" si="10"/>
        <v>10</v>
      </c>
      <c r="E326" s="28"/>
      <c r="F326" s="28">
        <v>10</v>
      </c>
      <c r="G326" s="29">
        <f t="shared" si="11"/>
        <v>0</v>
      </c>
      <c r="H326" s="30">
        <v>120</v>
      </c>
      <c r="I326" s="19">
        <f t="shared" si="12"/>
        <v>0</v>
      </c>
    </row>
    <row r="327" spans="1:9" x14ac:dyDescent="0.3">
      <c r="A327" s="28" t="s">
        <v>277</v>
      </c>
      <c r="B327" s="28"/>
      <c r="C327" s="28"/>
      <c r="D327" s="29">
        <f t="shared" si="10"/>
        <v>0</v>
      </c>
      <c r="E327" s="28"/>
      <c r="F327" s="28"/>
      <c r="G327" s="29">
        <f t="shared" si="11"/>
        <v>0</v>
      </c>
      <c r="H327" s="30"/>
      <c r="I327" s="19">
        <f t="shared" si="12"/>
        <v>0</v>
      </c>
    </row>
    <row r="328" spans="1:9" x14ac:dyDescent="0.3">
      <c r="A328" s="28" t="s">
        <v>236</v>
      </c>
      <c r="B328" s="28"/>
      <c r="C328" s="28"/>
      <c r="D328" s="29">
        <f t="shared" si="10"/>
        <v>0</v>
      </c>
      <c r="E328" s="28"/>
      <c r="F328" s="28"/>
      <c r="G328" s="29">
        <f t="shared" si="11"/>
        <v>0</v>
      </c>
      <c r="H328" s="30">
        <v>30</v>
      </c>
      <c r="I328" s="19">
        <f t="shared" si="12"/>
        <v>0</v>
      </c>
    </row>
    <row r="329" spans="1:9" x14ac:dyDescent="0.3">
      <c r="A329" s="28" t="s">
        <v>322</v>
      </c>
      <c r="B329" s="28"/>
      <c r="C329" s="28"/>
      <c r="D329" s="29">
        <f t="shared" si="10"/>
        <v>0</v>
      </c>
      <c r="E329" s="28"/>
      <c r="F329" s="28"/>
      <c r="G329" s="29">
        <f t="shared" si="11"/>
        <v>0</v>
      </c>
      <c r="H329" s="30">
        <v>3500</v>
      </c>
      <c r="I329" s="19">
        <f t="shared" si="12"/>
        <v>0</v>
      </c>
    </row>
    <row r="330" spans="1:9" x14ac:dyDescent="0.3">
      <c r="A330" s="28" t="s">
        <v>335</v>
      </c>
      <c r="B330" s="28"/>
      <c r="D330" s="29">
        <f t="shared" si="10"/>
        <v>0</v>
      </c>
      <c r="E330" s="28"/>
      <c r="F330" s="28"/>
      <c r="G330" s="29">
        <f t="shared" si="11"/>
        <v>0</v>
      </c>
      <c r="H330" s="30">
        <v>1150</v>
      </c>
      <c r="I330" s="19">
        <f t="shared" si="12"/>
        <v>0</v>
      </c>
    </row>
    <row r="331" spans="1:9" x14ac:dyDescent="0.3">
      <c r="A331" s="28" t="s">
        <v>299</v>
      </c>
      <c r="B331" s="28"/>
      <c r="D331" s="29">
        <f t="shared" si="10"/>
        <v>0</v>
      </c>
      <c r="E331" s="28"/>
      <c r="F331" s="28"/>
      <c r="G331" s="29">
        <f t="shared" si="11"/>
        <v>0</v>
      </c>
      <c r="H331" s="30">
        <v>1400</v>
      </c>
      <c r="I331" s="19">
        <f t="shared" si="12"/>
        <v>0</v>
      </c>
    </row>
    <row r="332" spans="1:9" x14ac:dyDescent="0.3">
      <c r="A332" s="28" t="s">
        <v>226</v>
      </c>
      <c r="B332" s="28">
        <v>9</v>
      </c>
      <c r="D332" s="29">
        <f t="shared" si="10"/>
        <v>9</v>
      </c>
      <c r="E332" s="28"/>
      <c r="F332" s="28">
        <v>8</v>
      </c>
      <c r="G332" s="29">
        <f t="shared" si="11"/>
        <v>1</v>
      </c>
      <c r="H332" s="30">
        <v>300</v>
      </c>
      <c r="I332" s="19">
        <f t="shared" si="12"/>
        <v>300</v>
      </c>
    </row>
    <row r="333" spans="1:9" x14ac:dyDescent="0.3">
      <c r="A333" s="28" t="s">
        <v>271</v>
      </c>
      <c r="B333" s="28"/>
      <c r="D333" s="29">
        <f t="shared" si="10"/>
        <v>0</v>
      </c>
      <c r="E333" s="28"/>
      <c r="F333" s="28"/>
      <c r="G333" s="29">
        <f t="shared" si="11"/>
        <v>0</v>
      </c>
      <c r="H333" s="30">
        <v>7000</v>
      </c>
      <c r="I333" s="19">
        <f t="shared" si="12"/>
        <v>0</v>
      </c>
    </row>
    <row r="334" spans="1:9" x14ac:dyDescent="0.3">
      <c r="I334" s="39">
        <f>SUM(I6:I333)</f>
        <v>1159455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1"/>
  <sheetViews>
    <sheetView zoomScale="85" zoomScaleNormal="85" workbookViewId="0">
      <selection sqref="A1:XFD1048576"/>
    </sheetView>
  </sheetViews>
  <sheetFormatPr defaultRowHeight="14.4" x14ac:dyDescent="0.3"/>
  <cols>
    <col min="1" max="1" width="13.5546875" style="37" customWidth="1"/>
    <col min="2" max="2" width="38.5546875" customWidth="1"/>
    <col min="3" max="3" width="9.109375" customWidth="1"/>
    <col min="4" max="4" width="9.6640625" customWidth="1"/>
    <col min="5" max="6" width="9.109375"/>
  </cols>
  <sheetData>
    <row r="1" spans="1:6" x14ac:dyDescent="0.3">
      <c r="A1" s="42" t="s">
        <v>124</v>
      </c>
      <c r="B1" s="43" t="s">
        <v>158</v>
      </c>
      <c r="C1" s="43"/>
      <c r="D1" s="52" t="s">
        <v>157</v>
      </c>
      <c r="E1" s="42" t="s">
        <v>2</v>
      </c>
    </row>
    <row r="2" spans="1:6" ht="15.6" x14ac:dyDescent="0.3">
      <c r="A2" s="13">
        <v>45723</v>
      </c>
      <c r="B2" s="46" t="s">
        <v>446</v>
      </c>
      <c r="C2" s="46"/>
      <c r="D2" s="44"/>
      <c r="E2" s="44">
        <v>61800</v>
      </c>
      <c r="F2" s="44"/>
    </row>
    <row r="3" spans="1:6" ht="15.6" x14ac:dyDescent="0.3">
      <c r="A3" s="13">
        <v>45723</v>
      </c>
      <c r="B3" s="46" t="s">
        <v>416</v>
      </c>
      <c r="C3" s="46"/>
      <c r="D3" s="44"/>
      <c r="E3" s="44">
        <v>2800</v>
      </c>
      <c r="F3" s="44"/>
    </row>
    <row r="4" spans="1:6" ht="15.6" x14ac:dyDescent="0.3">
      <c r="A4" s="13">
        <v>45723</v>
      </c>
      <c r="B4" s="46" t="s">
        <v>447</v>
      </c>
      <c r="C4" s="46"/>
      <c r="D4" s="44"/>
      <c r="E4" s="44">
        <v>10000</v>
      </c>
      <c r="F4" s="44"/>
    </row>
    <row r="5" spans="1:6" ht="15.6" x14ac:dyDescent="0.3">
      <c r="A5" s="13">
        <v>45723</v>
      </c>
      <c r="B5" s="46" t="s">
        <v>421</v>
      </c>
      <c r="C5" s="46"/>
      <c r="D5" s="44"/>
      <c r="E5" s="44">
        <v>6000</v>
      </c>
      <c r="F5" s="44"/>
    </row>
    <row r="6" spans="1:6" ht="15.6" x14ac:dyDescent="0.3">
      <c r="A6" s="13" t="s">
        <v>433</v>
      </c>
      <c r="B6" s="46" t="s">
        <v>421</v>
      </c>
      <c r="C6" s="46"/>
      <c r="D6" s="44"/>
      <c r="E6" s="44">
        <v>5000</v>
      </c>
      <c r="F6" s="44"/>
    </row>
    <row r="7" spans="1:6" ht="15.6" x14ac:dyDescent="0.3">
      <c r="A7" s="13">
        <v>45723</v>
      </c>
      <c r="B7" s="46" t="s">
        <v>448</v>
      </c>
      <c r="C7" s="46"/>
      <c r="D7" s="44"/>
      <c r="E7" s="44">
        <v>6000</v>
      </c>
      <c r="F7" s="44"/>
    </row>
    <row r="8" spans="1:6" ht="15.6" x14ac:dyDescent="0.3">
      <c r="A8" s="13">
        <v>45723</v>
      </c>
      <c r="B8" s="46" t="s">
        <v>421</v>
      </c>
      <c r="C8" s="46"/>
      <c r="D8" s="44"/>
      <c r="E8" s="44">
        <v>1500</v>
      </c>
      <c r="F8" s="44"/>
    </row>
    <row r="9" spans="1:6" ht="15.6" x14ac:dyDescent="0.3">
      <c r="A9" s="13">
        <v>45723</v>
      </c>
      <c r="B9" s="46" t="s">
        <v>449</v>
      </c>
      <c r="C9" s="46"/>
      <c r="D9" s="44"/>
      <c r="E9" s="44">
        <v>36000</v>
      </c>
      <c r="F9" s="44"/>
    </row>
    <row r="10" spans="1:6" ht="15.6" x14ac:dyDescent="0.3">
      <c r="A10" s="13" t="s">
        <v>433</v>
      </c>
      <c r="B10" s="46" t="s">
        <v>452</v>
      </c>
      <c r="C10" s="46"/>
      <c r="D10" s="44"/>
      <c r="E10" s="44">
        <v>500</v>
      </c>
      <c r="F10" s="44"/>
    </row>
    <row r="11" spans="1:6" ht="15.6" x14ac:dyDescent="0.3">
      <c r="A11" s="13" t="s">
        <v>433</v>
      </c>
      <c r="B11" s="46" t="s">
        <v>453</v>
      </c>
      <c r="C11" s="46"/>
      <c r="D11" s="44"/>
      <c r="E11" s="44">
        <v>13000</v>
      </c>
      <c r="F11" s="44"/>
    </row>
    <row r="12" spans="1:6" ht="15.6" x14ac:dyDescent="0.3">
      <c r="A12" s="13" t="s">
        <v>433</v>
      </c>
      <c r="B12" s="46" t="s">
        <v>454</v>
      </c>
      <c r="C12" s="46"/>
      <c r="D12" s="44"/>
      <c r="E12" s="44">
        <v>2200</v>
      </c>
      <c r="F12" s="44"/>
    </row>
    <row r="13" spans="1:6" ht="15.6" x14ac:dyDescent="0.3">
      <c r="A13" s="13" t="s">
        <v>433</v>
      </c>
      <c r="B13" s="46" t="s">
        <v>456</v>
      </c>
      <c r="C13" s="46"/>
      <c r="D13" s="44"/>
      <c r="E13" s="44"/>
      <c r="F13" s="44"/>
    </row>
    <row r="14" spans="1:6" ht="15.6" x14ac:dyDescent="0.3">
      <c r="A14" s="13"/>
      <c r="B14" s="46"/>
      <c r="C14" s="46"/>
      <c r="D14" s="44"/>
      <c r="E14" s="44"/>
      <c r="F14" s="44"/>
    </row>
    <row r="15" spans="1:6" ht="15.6" x14ac:dyDescent="0.3">
      <c r="A15" s="13"/>
      <c r="B15" s="46"/>
      <c r="C15" s="46"/>
      <c r="D15" s="44"/>
      <c r="E15" s="44"/>
      <c r="F15" s="44"/>
    </row>
    <row r="16" spans="1:6" ht="15.6" x14ac:dyDescent="0.3">
      <c r="A16" s="13"/>
      <c r="B16" s="46"/>
      <c r="C16" s="46"/>
      <c r="D16" s="44"/>
      <c r="E16" s="44"/>
      <c r="F16" s="44"/>
    </row>
    <row r="17" spans="1:6" ht="15.6" x14ac:dyDescent="0.3">
      <c r="A17" s="13"/>
      <c r="B17" s="46"/>
      <c r="C17" s="46"/>
      <c r="D17" s="44"/>
      <c r="E17" s="44"/>
      <c r="F17" s="44"/>
    </row>
    <row r="18" spans="1:6" ht="15.6" x14ac:dyDescent="0.3">
      <c r="A18" s="13"/>
      <c r="B18" s="46"/>
      <c r="C18" s="46"/>
      <c r="D18" s="44"/>
      <c r="E18" s="44"/>
      <c r="F18" s="44"/>
    </row>
    <row r="19" spans="1:6" ht="15.6" x14ac:dyDescent="0.3">
      <c r="A19" s="13"/>
      <c r="B19" s="46"/>
      <c r="C19" s="46"/>
      <c r="D19" s="44"/>
      <c r="E19" s="44"/>
      <c r="F19" s="44"/>
    </row>
    <row r="20" spans="1:6" ht="15.6" x14ac:dyDescent="0.3">
      <c r="A20" s="13"/>
      <c r="B20" s="46"/>
      <c r="C20" s="46"/>
      <c r="D20" s="44"/>
      <c r="E20" s="44"/>
      <c r="F20" s="44"/>
    </row>
    <row r="21" spans="1:6" x14ac:dyDescent="0.3">
      <c r="A21" s="45"/>
      <c r="B21" s="42" t="s">
        <v>132</v>
      </c>
      <c r="C21" s="42"/>
      <c r="D21" s="52"/>
      <c r="E21" s="42">
        <f>SUM(E2:E20)</f>
        <v>144800</v>
      </c>
    </row>
    <row r="22" spans="1:6" x14ac:dyDescent="0.3">
      <c r="A22" s="38"/>
      <c r="E22" s="53"/>
    </row>
    <row r="23" spans="1:6" x14ac:dyDescent="0.3">
      <c r="A23" s="38"/>
    </row>
    <row r="24" spans="1:6" x14ac:dyDescent="0.3">
      <c r="A24" s="38"/>
    </row>
    <row r="25" spans="1:6" x14ac:dyDescent="0.3">
      <c r="A25" s="38"/>
      <c r="E25" s="54"/>
    </row>
    <row r="26" spans="1:6" ht="15.6" x14ac:dyDescent="0.3">
      <c r="A26" s="13">
        <v>45723</v>
      </c>
      <c r="B26" s="46" t="s">
        <v>394</v>
      </c>
      <c r="C26" s="46"/>
      <c r="D26" s="44"/>
      <c r="E26" s="44">
        <v>56000</v>
      </c>
      <c r="F26" s="44"/>
    </row>
    <row r="27" spans="1:6" ht="15.6" x14ac:dyDescent="0.3">
      <c r="A27" s="13"/>
      <c r="B27" s="46"/>
      <c r="C27" s="46"/>
      <c r="D27" s="44"/>
      <c r="E27" s="44"/>
      <c r="F27" s="44"/>
    </row>
    <row r="28" spans="1:6" ht="15.6" x14ac:dyDescent="0.3">
      <c r="A28" s="13"/>
      <c r="B28" s="46"/>
      <c r="C28" s="46"/>
      <c r="D28" s="44"/>
      <c r="E28" s="44"/>
      <c r="F28" s="44"/>
    </row>
    <row r="29" spans="1:6" ht="15.6" x14ac:dyDescent="0.3">
      <c r="A29" s="13"/>
      <c r="B29" s="46"/>
      <c r="C29" s="46"/>
      <c r="D29" s="44"/>
      <c r="E29" s="44"/>
      <c r="F29" s="44"/>
    </row>
    <row r="30" spans="1:6" x14ac:dyDescent="0.3">
      <c r="A30" s="38"/>
      <c r="E30" s="42">
        <f>SUM(E26:E29)</f>
        <v>56000</v>
      </c>
    </row>
    <row r="31" spans="1:6" x14ac:dyDescent="0.3">
      <c r="E31" s="4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2"/>
  <sheetViews>
    <sheetView workbookViewId="0">
      <selection sqref="A1:XFD1048576"/>
    </sheetView>
  </sheetViews>
  <sheetFormatPr defaultRowHeight="14.4" x14ac:dyDescent="0.3"/>
  <cols>
    <col min="1" max="1" width="13.44140625" style="41" customWidth="1"/>
    <col min="2" max="2" width="28" customWidth="1"/>
    <col min="3" max="3" width="16.88671875" customWidth="1"/>
    <col min="4" max="4" width="10.6640625" customWidth="1"/>
  </cols>
  <sheetData>
    <row r="1" spans="1:6" ht="28.8" x14ac:dyDescent="0.3">
      <c r="A1" s="13">
        <v>45723</v>
      </c>
      <c r="B1" s="46" t="s">
        <v>450</v>
      </c>
      <c r="C1" s="46"/>
      <c r="D1" s="44"/>
      <c r="E1" s="44">
        <v>7400</v>
      </c>
      <c r="F1" s="44"/>
    </row>
    <row r="2" spans="1:6" ht="15.6" x14ac:dyDescent="0.3">
      <c r="A2" s="13">
        <v>45723</v>
      </c>
      <c r="B2" s="46" t="s">
        <v>451</v>
      </c>
      <c r="C2" s="46" t="s">
        <v>420</v>
      </c>
      <c r="D2" s="44"/>
      <c r="E2" s="44">
        <v>124000</v>
      </c>
      <c r="F2" s="44"/>
    </row>
    <row r="3" spans="1:6" ht="15.6" x14ac:dyDescent="0.3">
      <c r="A3" s="13">
        <v>45723</v>
      </c>
      <c r="B3" s="46" t="s">
        <v>451</v>
      </c>
      <c r="C3" s="46" t="s">
        <v>420</v>
      </c>
      <c r="D3" s="44"/>
      <c r="E3" s="44">
        <v>257900</v>
      </c>
      <c r="F3" s="44"/>
    </row>
    <row r="4" spans="1:6" ht="15.6" x14ac:dyDescent="0.3">
      <c r="A4" s="13" t="s">
        <v>433</v>
      </c>
      <c r="B4" s="46" t="s">
        <v>451</v>
      </c>
      <c r="C4" s="46" t="s">
        <v>420</v>
      </c>
      <c r="D4" s="44"/>
      <c r="E4" s="44">
        <v>288500</v>
      </c>
      <c r="F4" s="44"/>
    </row>
    <row r="5" spans="1:6" ht="15.6" x14ac:dyDescent="0.3">
      <c r="A5" s="13" t="s">
        <v>433</v>
      </c>
      <c r="B5" s="46" t="s">
        <v>451</v>
      </c>
      <c r="C5" s="46"/>
      <c r="D5" s="44"/>
      <c r="E5" s="44">
        <v>95800</v>
      </c>
      <c r="F5" s="44"/>
    </row>
    <row r="6" spans="1:6" ht="15.6" x14ac:dyDescent="0.3">
      <c r="A6" s="13"/>
      <c r="B6" s="46" t="s">
        <v>395</v>
      </c>
      <c r="C6" s="46"/>
      <c r="D6" s="44"/>
      <c r="E6" s="44"/>
      <c r="F6" s="44"/>
    </row>
    <row r="7" spans="1:6" ht="15.6" x14ac:dyDescent="0.3">
      <c r="A7" s="13"/>
      <c r="B7" s="46" t="s">
        <v>395</v>
      </c>
      <c r="C7" s="46" t="s">
        <v>458</v>
      </c>
      <c r="D7" s="44"/>
      <c r="E7" s="44"/>
      <c r="F7" s="44"/>
    </row>
    <row r="8" spans="1:6" ht="28.8" x14ac:dyDescent="0.3">
      <c r="A8" s="13"/>
      <c r="B8" s="46" t="s">
        <v>450</v>
      </c>
      <c r="C8" s="46"/>
      <c r="D8" s="44"/>
      <c r="E8" s="44"/>
      <c r="F8" s="44"/>
    </row>
    <row r="9" spans="1:6" ht="28.8" x14ac:dyDescent="0.3">
      <c r="A9" s="13"/>
      <c r="B9" s="46" t="s">
        <v>450</v>
      </c>
      <c r="C9" s="46"/>
      <c r="D9" s="44"/>
      <c r="E9" s="44"/>
      <c r="F9" s="44"/>
    </row>
    <row r="10" spans="1:6" ht="15.6" x14ac:dyDescent="0.3">
      <c r="A10" s="13"/>
      <c r="B10" s="46" t="s">
        <v>457</v>
      </c>
      <c r="C10" s="46"/>
      <c r="D10" s="44"/>
      <c r="E10" s="44"/>
      <c r="F10" s="44"/>
    </row>
    <row r="11" spans="1:6" ht="15.6" x14ac:dyDescent="0.3">
      <c r="A11" s="13"/>
      <c r="B11" s="46"/>
      <c r="C11" s="46"/>
      <c r="D11" s="44"/>
      <c r="E11" s="44"/>
      <c r="F11" s="44"/>
    </row>
    <row r="12" spans="1:6" ht="15.6" x14ac:dyDescent="0.3">
      <c r="A12" s="13"/>
      <c r="B12" s="46"/>
      <c r="C12" s="46"/>
      <c r="D12" s="44"/>
      <c r="E12" s="44"/>
      <c r="F12" s="44"/>
    </row>
    <row r="13" spans="1:6" ht="15.6" x14ac:dyDescent="0.3">
      <c r="A13" s="13"/>
      <c r="B13" s="46"/>
      <c r="C13" s="46"/>
      <c r="D13" s="44"/>
      <c r="E13" s="44"/>
      <c r="F13" s="44"/>
    </row>
    <row r="14" spans="1:6" ht="15.6" x14ac:dyDescent="0.3">
      <c r="A14" s="13"/>
      <c r="B14" s="46"/>
      <c r="C14" s="46"/>
      <c r="D14" s="44"/>
      <c r="E14" s="44"/>
      <c r="F14" s="44"/>
    </row>
    <row r="15" spans="1:6" ht="15.6" x14ac:dyDescent="0.3">
      <c r="A15" s="13"/>
      <c r="B15" s="46"/>
      <c r="C15" s="46"/>
      <c r="D15" s="44"/>
      <c r="E15" s="44"/>
      <c r="F15" s="44"/>
    </row>
    <row r="16" spans="1:6" ht="15.6" x14ac:dyDescent="0.3">
      <c r="A16" s="13"/>
      <c r="B16" s="46"/>
      <c r="C16" s="46"/>
      <c r="D16" s="44"/>
      <c r="E16" s="44"/>
      <c r="F16" s="44"/>
    </row>
    <row r="17" spans="1:6" ht="15.6" x14ac:dyDescent="0.3">
      <c r="A17" s="13"/>
      <c r="B17" s="46"/>
      <c r="C17" s="46"/>
      <c r="D17" s="44"/>
      <c r="E17" s="44"/>
      <c r="F17" s="44"/>
    </row>
    <row r="18" spans="1:6" ht="15.6" x14ac:dyDescent="0.3">
      <c r="A18" s="13"/>
      <c r="B18" s="46"/>
      <c r="C18" s="46"/>
      <c r="D18" s="44"/>
      <c r="E18" s="44">
        <f>SUM(E1:E17)</f>
        <v>773600</v>
      </c>
      <c r="F18" s="44"/>
    </row>
    <row r="19" spans="1:6" x14ac:dyDescent="0.3">
      <c r="A19" s="40"/>
      <c r="B19" s="4"/>
    </row>
    <row r="20" spans="1:6" x14ac:dyDescent="0.3">
      <c r="A20" s="40"/>
      <c r="B20" s="4"/>
    </row>
    <row r="21" spans="1:6" ht="15.6" x14ac:dyDescent="0.3">
      <c r="A21" s="13" t="s">
        <v>433</v>
      </c>
      <c r="B21" s="46" t="s">
        <v>455</v>
      </c>
      <c r="C21" s="46"/>
      <c r="D21" s="44"/>
      <c r="E21" s="44">
        <v>4000</v>
      </c>
      <c r="F21" s="44"/>
    </row>
    <row r="22" spans="1:6" ht="15.6" x14ac:dyDescent="0.3">
      <c r="A22" s="13"/>
      <c r="B22" s="46"/>
      <c r="C22" s="46"/>
      <c r="D22" s="44"/>
      <c r="E22" s="44"/>
      <c r="F22" s="44"/>
    </row>
    <row r="23" spans="1:6" ht="15.6" x14ac:dyDescent="0.3">
      <c r="A23" s="13"/>
      <c r="B23" s="46"/>
      <c r="C23" s="46"/>
      <c r="D23" s="44"/>
      <c r="E23" s="44"/>
      <c r="F23" s="44"/>
    </row>
    <row r="24" spans="1:6" x14ac:dyDescent="0.3">
      <c r="E24">
        <f>SUM(E21:E23)</f>
        <v>4000</v>
      </c>
    </row>
    <row r="26" spans="1:6" x14ac:dyDescent="0.3">
      <c r="E26">
        <f>E19+E24</f>
        <v>4000</v>
      </c>
    </row>
    <row r="29" spans="1:6" x14ac:dyDescent="0.3">
      <c r="C29" t="s">
        <v>211</v>
      </c>
      <c r="D29">
        <f>E19</f>
        <v>0</v>
      </c>
    </row>
    <row r="30" spans="1:6" x14ac:dyDescent="0.3">
      <c r="C30" t="s">
        <v>212</v>
      </c>
      <c r="D30">
        <f>E24</f>
        <v>4000</v>
      </c>
    </row>
    <row r="32" spans="1:6" x14ac:dyDescent="0.3">
      <c r="D32">
        <f>D29+D30+D31</f>
        <v>4000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364"/>
  <sheetViews>
    <sheetView topLeftCell="A202" zoomScale="85" zoomScaleNormal="85" workbookViewId="0">
      <selection activeCell="J223" sqref="J223"/>
    </sheetView>
  </sheetViews>
  <sheetFormatPr defaultColWidth="8.6640625" defaultRowHeight="13.8" x14ac:dyDescent="0.3"/>
  <cols>
    <col min="1" max="1" width="21.44140625" style="17" customWidth="1"/>
    <col min="2" max="2" width="7.44140625" style="17" customWidth="1"/>
    <col min="3" max="3" width="8.6640625" style="17" customWidth="1"/>
    <col min="4" max="4" width="8.33203125" style="17" customWidth="1"/>
    <col min="5" max="5" width="5.44140625" style="17" customWidth="1"/>
    <col min="6" max="6" width="7.44140625" style="17" customWidth="1"/>
    <col min="7" max="7" width="8" style="17" customWidth="1"/>
    <col min="8" max="8" width="10.44140625" style="18" customWidth="1"/>
    <col min="9" max="9" width="15.44140625" style="17" customWidth="1"/>
    <col min="10" max="16384" width="8.6640625" style="17"/>
  </cols>
  <sheetData>
    <row r="1" spans="1:9" x14ac:dyDescent="0.3">
      <c r="A1" s="19" t="s">
        <v>397</v>
      </c>
      <c r="B1" s="19"/>
      <c r="C1" s="48"/>
      <c r="D1" s="19"/>
      <c r="E1" s="19"/>
      <c r="F1" s="19"/>
      <c r="G1" s="19"/>
      <c r="H1" s="20"/>
      <c r="I1" s="19"/>
    </row>
    <row r="2" spans="1:9" x14ac:dyDescent="0.3">
      <c r="A2" s="21" t="s">
        <v>398</v>
      </c>
      <c r="B2" s="21"/>
      <c r="C2" s="49"/>
      <c r="D2" s="21"/>
      <c r="E2" s="21"/>
      <c r="F2" s="21"/>
      <c r="G2" s="21"/>
      <c r="H2" s="22"/>
      <c r="I2" s="23"/>
    </row>
    <row r="3" spans="1:9" ht="50.4" x14ac:dyDescent="0.3">
      <c r="A3" s="24"/>
      <c r="B3" s="25"/>
      <c r="C3" s="25"/>
      <c r="D3" s="25"/>
      <c r="E3" s="25"/>
      <c r="F3" s="25"/>
      <c r="G3" s="25" t="s">
        <v>0</v>
      </c>
      <c r="H3" s="26"/>
      <c r="I3" s="27" t="s">
        <v>2</v>
      </c>
    </row>
    <row r="4" spans="1:9" x14ac:dyDescent="0.3">
      <c r="A4" s="24" t="s">
        <v>4</v>
      </c>
      <c r="B4" s="25"/>
      <c r="C4" s="25"/>
      <c r="D4" s="25"/>
      <c r="E4" s="25"/>
      <c r="F4" s="25"/>
      <c r="G4" s="25"/>
      <c r="H4" s="26"/>
      <c r="I4" s="27"/>
    </row>
    <row r="5" spans="1:9" x14ac:dyDescent="0.3">
      <c r="A5" s="28" t="s">
        <v>333</v>
      </c>
      <c r="B5" s="29"/>
      <c r="C5" s="28"/>
      <c r="D5" s="29">
        <f>B5+C5</f>
        <v>0</v>
      </c>
      <c r="E5" s="25"/>
      <c r="F5" s="29"/>
      <c r="G5" s="29">
        <f>D5-E5-F5</f>
        <v>0</v>
      </c>
      <c r="H5" s="29"/>
      <c r="I5" s="19">
        <f>G5*H5</f>
        <v>0</v>
      </c>
    </row>
    <row r="6" spans="1:9" x14ac:dyDescent="0.3">
      <c r="A6" s="28" t="s">
        <v>5</v>
      </c>
      <c r="B6" s="29"/>
      <c r="C6" s="28"/>
      <c r="D6" s="29">
        <f>B6+C6</f>
        <v>0</v>
      </c>
      <c r="E6" s="28"/>
      <c r="F6" s="29"/>
      <c r="G6" s="29">
        <f>D6-E6-F6</f>
        <v>0</v>
      </c>
      <c r="H6" s="30"/>
      <c r="I6" s="19">
        <f>G6*H6</f>
        <v>0</v>
      </c>
    </row>
    <row r="7" spans="1:9" x14ac:dyDescent="0.3">
      <c r="A7" s="28" t="s">
        <v>362</v>
      </c>
      <c r="B7" s="28">
        <v>5000</v>
      </c>
      <c r="C7" s="28"/>
      <c r="D7" s="29">
        <f t="shared" ref="D7:D89" si="0">B7+C7</f>
        <v>5000</v>
      </c>
      <c r="E7" s="28"/>
      <c r="F7" s="28"/>
      <c r="G7" s="29">
        <f t="shared" ref="G7:G124" si="1">D7-E7-F7</f>
        <v>5000</v>
      </c>
      <c r="H7" s="30"/>
      <c r="I7" s="19">
        <f t="shared" ref="I7:I126" si="2">G7*H7</f>
        <v>0</v>
      </c>
    </row>
    <row r="8" spans="1:9" x14ac:dyDescent="0.3">
      <c r="A8" s="28" t="s">
        <v>305</v>
      </c>
      <c r="B8" s="28">
        <v>35</v>
      </c>
      <c r="C8" s="28"/>
      <c r="D8" s="29">
        <f t="shared" si="0"/>
        <v>35</v>
      </c>
      <c r="E8" s="28"/>
      <c r="F8" s="28"/>
      <c r="G8" s="29">
        <f t="shared" si="1"/>
        <v>35</v>
      </c>
      <c r="H8" s="30"/>
      <c r="I8" s="19">
        <f t="shared" si="2"/>
        <v>0</v>
      </c>
    </row>
    <row r="9" spans="1:9" x14ac:dyDescent="0.3">
      <c r="A9" s="28" t="s">
        <v>6</v>
      </c>
      <c r="B9" s="28"/>
      <c r="C9" s="28"/>
      <c r="D9" s="29">
        <f t="shared" si="0"/>
        <v>0</v>
      </c>
      <c r="E9" s="28"/>
      <c r="F9" s="28"/>
      <c r="G9" s="29">
        <f t="shared" si="1"/>
        <v>0</v>
      </c>
      <c r="H9" s="30"/>
      <c r="I9" s="19">
        <f t="shared" si="2"/>
        <v>0</v>
      </c>
    </row>
    <row r="10" spans="1:9" x14ac:dyDescent="0.3">
      <c r="A10" s="28" t="s">
        <v>7</v>
      </c>
      <c r="B10" s="28">
        <v>150</v>
      </c>
      <c r="C10" s="28"/>
      <c r="D10" s="29">
        <f t="shared" si="0"/>
        <v>150</v>
      </c>
      <c r="E10" s="28"/>
      <c r="F10" s="28"/>
      <c r="G10" s="29">
        <f t="shared" si="1"/>
        <v>150</v>
      </c>
      <c r="H10" s="30"/>
      <c r="I10" s="19">
        <f t="shared" si="2"/>
        <v>0</v>
      </c>
    </row>
    <row r="11" spans="1:9" x14ac:dyDescent="0.3">
      <c r="A11" s="28" t="s">
        <v>92</v>
      </c>
      <c r="B11" s="28">
        <v>7</v>
      </c>
      <c r="C11" s="28"/>
      <c r="D11" s="29">
        <f t="shared" si="0"/>
        <v>7</v>
      </c>
      <c r="E11" s="28"/>
      <c r="F11" s="28"/>
      <c r="G11" s="29">
        <f t="shared" si="1"/>
        <v>7</v>
      </c>
      <c r="H11" s="30"/>
      <c r="I11" s="19">
        <f t="shared" si="2"/>
        <v>0</v>
      </c>
    </row>
    <row r="12" spans="1:9" x14ac:dyDescent="0.3">
      <c r="A12" s="28" t="s">
        <v>181</v>
      </c>
      <c r="B12" s="28"/>
      <c r="C12" s="28"/>
      <c r="D12" s="29">
        <f t="shared" si="0"/>
        <v>0</v>
      </c>
      <c r="E12" s="28"/>
      <c r="F12" s="28"/>
      <c r="G12" s="29">
        <f t="shared" si="1"/>
        <v>0</v>
      </c>
      <c r="H12" s="30"/>
      <c r="I12" s="19">
        <f t="shared" si="2"/>
        <v>0</v>
      </c>
    </row>
    <row r="13" spans="1:9" x14ac:dyDescent="0.3">
      <c r="A13" s="28" t="s">
        <v>276</v>
      </c>
      <c r="B13" s="28">
        <v>7000</v>
      </c>
      <c r="C13" s="28"/>
      <c r="D13" s="29">
        <f t="shared" si="0"/>
        <v>7000</v>
      </c>
      <c r="E13" s="28"/>
      <c r="F13" s="28"/>
      <c r="G13" s="29">
        <f t="shared" si="1"/>
        <v>7000</v>
      </c>
      <c r="H13" s="30"/>
      <c r="I13" s="19">
        <f t="shared" si="2"/>
        <v>0</v>
      </c>
    </row>
    <row r="14" spans="1:9" x14ac:dyDescent="0.3">
      <c r="A14" s="28" t="s">
        <v>207</v>
      </c>
      <c r="B14" s="28"/>
      <c r="C14" s="28"/>
      <c r="D14" s="29">
        <f t="shared" si="0"/>
        <v>0</v>
      </c>
      <c r="E14" s="28"/>
      <c r="F14" s="28"/>
      <c r="G14" s="29">
        <f t="shared" si="1"/>
        <v>0</v>
      </c>
      <c r="H14" s="30"/>
      <c r="I14" s="19">
        <f t="shared" si="2"/>
        <v>0</v>
      </c>
    </row>
    <row r="15" spans="1:9" x14ac:dyDescent="0.3">
      <c r="A15" s="28" t="s">
        <v>179</v>
      </c>
      <c r="B15" s="28"/>
      <c r="C15" s="28"/>
      <c r="D15" s="29">
        <f t="shared" si="0"/>
        <v>0</v>
      </c>
      <c r="E15" s="28"/>
      <c r="F15" s="28"/>
      <c r="G15" s="29">
        <f t="shared" si="1"/>
        <v>0</v>
      </c>
      <c r="H15" s="30"/>
      <c r="I15" s="19">
        <f t="shared" si="2"/>
        <v>0</v>
      </c>
    </row>
    <row r="16" spans="1:9" x14ac:dyDescent="0.3">
      <c r="A16" s="28" t="s">
        <v>306</v>
      </c>
      <c r="B16" s="28"/>
      <c r="C16" s="28"/>
      <c r="D16" s="29">
        <f t="shared" si="0"/>
        <v>0</v>
      </c>
      <c r="E16" s="28"/>
      <c r="F16" s="28"/>
      <c r="G16" s="29">
        <f t="shared" si="1"/>
        <v>0</v>
      </c>
      <c r="H16" s="30"/>
      <c r="I16" s="19">
        <f t="shared" si="2"/>
        <v>0</v>
      </c>
    </row>
    <row r="17" spans="1:9" x14ac:dyDescent="0.3">
      <c r="A17" s="28" t="s">
        <v>280</v>
      </c>
      <c r="B17" s="28"/>
      <c r="C17" s="28"/>
      <c r="D17" s="29">
        <f t="shared" si="0"/>
        <v>0</v>
      </c>
      <c r="E17" s="28"/>
      <c r="F17" s="28"/>
      <c r="G17" s="29">
        <f t="shared" si="1"/>
        <v>0</v>
      </c>
      <c r="H17" s="30"/>
      <c r="I17" s="19">
        <f t="shared" si="2"/>
        <v>0</v>
      </c>
    </row>
    <row r="18" spans="1:9" x14ac:dyDescent="0.3">
      <c r="A18" s="28" t="s">
        <v>325</v>
      </c>
      <c r="B18" s="28"/>
      <c r="C18" s="28"/>
      <c r="D18" s="29">
        <f t="shared" si="0"/>
        <v>0</v>
      </c>
      <c r="E18" s="28"/>
      <c r="F18" s="28"/>
      <c r="G18" s="29">
        <f t="shared" si="1"/>
        <v>0</v>
      </c>
      <c r="H18" s="30"/>
      <c r="I18" s="19">
        <f t="shared" si="2"/>
        <v>0</v>
      </c>
    </row>
    <row r="19" spans="1:9" x14ac:dyDescent="0.3">
      <c r="A19" s="28" t="s">
        <v>343</v>
      </c>
      <c r="B19" s="28"/>
      <c r="C19" s="28"/>
      <c r="D19" s="29">
        <f t="shared" si="0"/>
        <v>0</v>
      </c>
      <c r="E19" s="28"/>
      <c r="F19" s="28"/>
      <c r="G19" s="29">
        <f t="shared" si="1"/>
        <v>0</v>
      </c>
      <c r="H19" s="30"/>
      <c r="I19" s="19">
        <f t="shared" si="2"/>
        <v>0</v>
      </c>
    </row>
    <row r="20" spans="1:9" x14ac:dyDescent="0.3">
      <c r="A20" s="28"/>
      <c r="B20" s="28"/>
      <c r="C20" s="28"/>
      <c r="D20" s="29">
        <f t="shared" si="0"/>
        <v>0</v>
      </c>
      <c r="E20" s="28"/>
      <c r="F20" s="28"/>
      <c r="G20" s="29">
        <f t="shared" si="1"/>
        <v>0</v>
      </c>
      <c r="H20" s="30"/>
      <c r="I20" s="19">
        <f t="shared" si="2"/>
        <v>0</v>
      </c>
    </row>
    <row r="21" spans="1:9" x14ac:dyDescent="0.3">
      <c r="A21" s="24" t="s">
        <v>130</v>
      </c>
      <c r="B21" s="28"/>
      <c r="C21" s="28"/>
      <c r="D21" s="29">
        <f t="shared" si="0"/>
        <v>0</v>
      </c>
      <c r="E21" s="28"/>
      <c r="F21" s="28"/>
      <c r="G21" s="29">
        <f t="shared" si="1"/>
        <v>0</v>
      </c>
      <c r="H21" s="30"/>
      <c r="I21" s="19">
        <f t="shared" si="2"/>
        <v>0</v>
      </c>
    </row>
    <row r="22" spans="1:9" x14ac:dyDescent="0.3">
      <c r="A22" s="28" t="s">
        <v>310</v>
      </c>
      <c r="B22" s="28"/>
      <c r="C22" s="28"/>
      <c r="D22" s="29">
        <f t="shared" si="0"/>
        <v>0</v>
      </c>
      <c r="E22" s="28"/>
      <c r="F22" s="28"/>
      <c r="G22" s="29">
        <f t="shared" si="1"/>
        <v>0</v>
      </c>
      <c r="H22" s="30"/>
      <c r="I22" s="19">
        <f t="shared" si="2"/>
        <v>0</v>
      </c>
    </row>
    <row r="23" spans="1:9" x14ac:dyDescent="0.3">
      <c r="A23" s="28" t="s">
        <v>311</v>
      </c>
      <c r="B23" s="28">
        <v>400</v>
      </c>
      <c r="C23" s="28"/>
      <c r="D23" s="29">
        <f>B23+C23</f>
        <v>400</v>
      </c>
      <c r="E23" s="28"/>
      <c r="F23" s="28"/>
      <c r="G23" s="29">
        <f>D23-E23-F23</f>
        <v>400</v>
      </c>
      <c r="H23" s="30"/>
      <c r="I23" s="19">
        <f t="shared" si="2"/>
        <v>0</v>
      </c>
    </row>
    <row r="24" spans="1:9" x14ac:dyDescent="0.3">
      <c r="A24" s="28" t="s">
        <v>141</v>
      </c>
      <c r="B24" s="28">
        <v>250</v>
      </c>
      <c r="C24" s="28"/>
      <c r="D24" s="29">
        <f t="shared" si="0"/>
        <v>250</v>
      </c>
      <c r="E24" s="28"/>
      <c r="F24" s="28"/>
      <c r="G24" s="29">
        <f t="shared" si="1"/>
        <v>250</v>
      </c>
      <c r="H24" s="30"/>
      <c r="I24" s="19">
        <f>G24*H24</f>
        <v>0</v>
      </c>
    </row>
    <row r="25" spans="1:9" x14ac:dyDescent="0.3">
      <c r="A25" s="28" t="s">
        <v>330</v>
      </c>
      <c r="B25" s="28">
        <v>100</v>
      </c>
      <c r="C25" s="28"/>
      <c r="D25" s="29">
        <f t="shared" si="0"/>
        <v>100</v>
      </c>
      <c r="E25" s="28"/>
      <c r="F25" s="28"/>
      <c r="G25" s="29">
        <f t="shared" si="1"/>
        <v>100</v>
      </c>
      <c r="H25" s="30"/>
      <c r="I25" s="19">
        <f t="shared" si="2"/>
        <v>0</v>
      </c>
    </row>
    <row r="26" spans="1:9" x14ac:dyDescent="0.3">
      <c r="A26" s="28" t="s">
        <v>359</v>
      </c>
      <c r="B26" s="28">
        <v>1000</v>
      </c>
      <c r="C26" s="28"/>
      <c r="D26" s="29">
        <f t="shared" si="0"/>
        <v>1000</v>
      </c>
      <c r="E26" s="28"/>
      <c r="F26" s="28"/>
      <c r="G26" s="29">
        <f t="shared" si="1"/>
        <v>1000</v>
      </c>
      <c r="H26" s="30"/>
      <c r="I26" s="19">
        <f t="shared" si="2"/>
        <v>0</v>
      </c>
    </row>
    <row r="27" spans="1:9" x14ac:dyDescent="0.3">
      <c r="A27" s="28" t="s">
        <v>245</v>
      </c>
      <c r="B27" s="28">
        <v>1000</v>
      </c>
      <c r="C27" s="28"/>
      <c r="D27" s="29">
        <f t="shared" si="0"/>
        <v>1000</v>
      </c>
      <c r="E27" s="28"/>
      <c r="F27" s="28"/>
      <c r="G27" s="29">
        <f t="shared" si="1"/>
        <v>1000</v>
      </c>
      <c r="H27" s="30"/>
      <c r="I27" s="19">
        <f t="shared" si="2"/>
        <v>0</v>
      </c>
    </row>
    <row r="28" spans="1:9" x14ac:dyDescent="0.3">
      <c r="A28" s="28" t="s">
        <v>391</v>
      </c>
      <c r="B28" s="28">
        <v>90</v>
      </c>
      <c r="C28" s="28"/>
      <c r="D28" s="29">
        <f t="shared" si="0"/>
        <v>90</v>
      </c>
      <c r="E28" s="28"/>
      <c r="F28" s="28"/>
      <c r="G28" s="29">
        <f t="shared" si="1"/>
        <v>90</v>
      </c>
      <c r="H28" s="30"/>
      <c r="I28" s="19">
        <f t="shared" si="2"/>
        <v>0</v>
      </c>
    </row>
    <row r="29" spans="1:9" x14ac:dyDescent="0.3">
      <c r="A29" s="24" t="s">
        <v>8</v>
      </c>
      <c r="B29" s="28"/>
      <c r="C29" s="28"/>
      <c r="D29" s="29">
        <f t="shared" si="0"/>
        <v>0</v>
      </c>
      <c r="E29" s="28"/>
      <c r="F29" s="28"/>
      <c r="G29" s="29">
        <f t="shared" si="1"/>
        <v>0</v>
      </c>
      <c r="H29" s="30"/>
      <c r="I29" s="19">
        <f t="shared" si="2"/>
        <v>0</v>
      </c>
    </row>
    <row r="30" spans="1:9" x14ac:dyDescent="0.3">
      <c r="A30" s="28" t="s">
        <v>9</v>
      </c>
      <c r="B30" s="28"/>
      <c r="C30" s="28"/>
      <c r="D30" s="29">
        <f t="shared" si="0"/>
        <v>0</v>
      </c>
      <c r="E30" s="28"/>
      <c r="F30" s="28"/>
      <c r="G30" s="29">
        <f t="shared" si="1"/>
        <v>0</v>
      </c>
      <c r="H30" s="30"/>
      <c r="I30" s="19">
        <f t="shared" si="2"/>
        <v>0</v>
      </c>
    </row>
    <row r="31" spans="1:9" x14ac:dyDescent="0.3">
      <c r="A31" s="28" t="s">
        <v>10</v>
      </c>
      <c r="B31" s="28">
        <v>5000</v>
      </c>
      <c r="C31" s="28"/>
      <c r="D31" s="29">
        <f t="shared" si="0"/>
        <v>5000</v>
      </c>
      <c r="E31" s="28"/>
      <c r="F31" s="28"/>
      <c r="G31" s="29">
        <f t="shared" si="1"/>
        <v>5000</v>
      </c>
      <c r="H31" s="30"/>
      <c r="I31" s="19">
        <f t="shared" si="2"/>
        <v>0</v>
      </c>
    </row>
    <row r="32" spans="1:9" x14ac:dyDescent="0.3">
      <c r="A32" s="28" t="s">
        <v>216</v>
      </c>
      <c r="B32" s="28">
        <v>50</v>
      </c>
      <c r="C32" s="28"/>
      <c r="D32" s="29">
        <f t="shared" si="0"/>
        <v>50</v>
      </c>
      <c r="E32" s="28"/>
      <c r="F32" s="28"/>
      <c r="G32" s="29">
        <f t="shared" si="1"/>
        <v>50</v>
      </c>
      <c r="H32" s="30"/>
      <c r="I32" s="19">
        <f t="shared" si="2"/>
        <v>0</v>
      </c>
    </row>
    <row r="33" spans="1:9" x14ac:dyDescent="0.3">
      <c r="A33" s="28"/>
      <c r="B33" s="28"/>
      <c r="C33" s="28"/>
      <c r="D33" s="29">
        <f t="shared" si="0"/>
        <v>0</v>
      </c>
      <c r="E33" s="28"/>
      <c r="F33" s="28"/>
      <c r="G33" s="29">
        <f t="shared" si="1"/>
        <v>0</v>
      </c>
      <c r="H33" s="30"/>
      <c r="I33" s="19">
        <f t="shared" si="2"/>
        <v>0</v>
      </c>
    </row>
    <row r="34" spans="1:9" x14ac:dyDescent="0.3">
      <c r="A34" s="24" t="s">
        <v>11</v>
      </c>
      <c r="B34" s="28"/>
      <c r="C34" s="28"/>
      <c r="D34" s="29">
        <f t="shared" si="0"/>
        <v>0</v>
      </c>
      <c r="E34" s="28"/>
      <c r="F34" s="28"/>
      <c r="G34" s="29">
        <f t="shared" si="1"/>
        <v>0</v>
      </c>
      <c r="H34" s="30"/>
      <c r="I34" s="19">
        <f t="shared" si="2"/>
        <v>0</v>
      </c>
    </row>
    <row r="35" spans="1:9" x14ac:dyDescent="0.3">
      <c r="A35" s="28" t="s">
        <v>12</v>
      </c>
      <c r="B35" s="28">
        <v>2200</v>
      </c>
      <c r="C35" s="28"/>
      <c r="D35" s="29">
        <f t="shared" si="0"/>
        <v>2200</v>
      </c>
      <c r="E35" s="28"/>
      <c r="F35" s="28"/>
      <c r="G35" s="29">
        <f t="shared" si="1"/>
        <v>2200</v>
      </c>
      <c r="H35" s="30"/>
      <c r="I35" s="19">
        <f t="shared" si="2"/>
        <v>0</v>
      </c>
    </row>
    <row r="36" spans="1:9" x14ac:dyDescent="0.3">
      <c r="A36" s="28" t="s">
        <v>13</v>
      </c>
      <c r="B36" s="28">
        <v>500</v>
      </c>
      <c r="C36" s="28"/>
      <c r="D36" s="29">
        <f t="shared" si="0"/>
        <v>500</v>
      </c>
      <c r="E36" s="28"/>
      <c r="F36" s="28"/>
      <c r="G36" s="29">
        <f t="shared" si="1"/>
        <v>500</v>
      </c>
      <c r="H36" s="30"/>
      <c r="I36" s="19">
        <f t="shared" si="2"/>
        <v>0</v>
      </c>
    </row>
    <row r="37" spans="1:9" x14ac:dyDescent="0.3">
      <c r="A37" s="28" t="s">
        <v>14</v>
      </c>
      <c r="B37" s="28">
        <v>3500</v>
      </c>
      <c r="C37" s="28"/>
      <c r="D37" s="29">
        <f t="shared" si="0"/>
        <v>3500</v>
      </c>
      <c r="E37" s="28"/>
      <c r="F37" s="28"/>
      <c r="G37" s="29">
        <f t="shared" si="1"/>
        <v>3500</v>
      </c>
      <c r="H37" s="30"/>
      <c r="I37" s="19">
        <f t="shared" si="2"/>
        <v>0</v>
      </c>
    </row>
    <row r="38" spans="1:9" x14ac:dyDescent="0.3">
      <c r="A38" s="28" t="s">
        <v>282</v>
      </c>
      <c r="B38" s="28"/>
      <c r="C38" s="28"/>
      <c r="D38" s="29">
        <f t="shared" si="0"/>
        <v>0</v>
      </c>
      <c r="E38" s="28"/>
      <c r="F38" s="28"/>
      <c r="G38" s="29">
        <f t="shared" si="1"/>
        <v>0</v>
      </c>
      <c r="H38" s="30"/>
      <c r="I38" s="19">
        <f t="shared" si="2"/>
        <v>0</v>
      </c>
    </row>
    <row r="39" spans="1:9" x14ac:dyDescent="0.3">
      <c r="A39" s="28" t="s">
        <v>283</v>
      </c>
      <c r="B39" s="28"/>
      <c r="C39" s="28"/>
      <c r="D39" s="29">
        <f t="shared" si="0"/>
        <v>0</v>
      </c>
      <c r="E39" s="28"/>
      <c r="F39" s="28"/>
      <c r="G39" s="29">
        <f t="shared" si="1"/>
        <v>0</v>
      </c>
      <c r="H39" s="30"/>
      <c r="I39" s="19">
        <f t="shared" si="2"/>
        <v>0</v>
      </c>
    </row>
    <row r="40" spans="1:9" x14ac:dyDescent="0.3">
      <c r="A40" s="28" t="s">
        <v>96</v>
      </c>
      <c r="B40" s="28">
        <v>6</v>
      </c>
      <c r="C40" s="28"/>
      <c r="D40" s="29">
        <f t="shared" si="0"/>
        <v>6</v>
      </c>
      <c r="E40" s="28"/>
      <c r="F40" s="28"/>
      <c r="G40" s="29">
        <f t="shared" si="1"/>
        <v>6</v>
      </c>
      <c r="H40" s="31"/>
      <c r="I40" s="19">
        <f t="shared" si="2"/>
        <v>0</v>
      </c>
    </row>
    <row r="41" spans="1:9" x14ac:dyDescent="0.3">
      <c r="A41" s="28" t="s">
        <v>97</v>
      </c>
      <c r="B41" s="28">
        <v>7</v>
      </c>
      <c r="C41" s="28"/>
      <c r="D41" s="29">
        <f t="shared" si="0"/>
        <v>7</v>
      </c>
      <c r="E41" s="28"/>
      <c r="F41" s="28"/>
      <c r="G41" s="29">
        <f t="shared" si="1"/>
        <v>7</v>
      </c>
      <c r="H41" s="30"/>
      <c r="I41" s="19">
        <f t="shared" si="2"/>
        <v>0</v>
      </c>
    </row>
    <row r="42" spans="1:9" x14ac:dyDescent="0.3">
      <c r="A42" s="28" t="s">
        <v>98</v>
      </c>
      <c r="B42" s="28">
        <v>4</v>
      </c>
      <c r="C42" s="28"/>
      <c r="D42" s="29">
        <f t="shared" si="0"/>
        <v>4</v>
      </c>
      <c r="E42" s="28"/>
      <c r="F42" s="28"/>
      <c r="G42" s="29">
        <f t="shared" si="1"/>
        <v>4</v>
      </c>
      <c r="H42" s="31"/>
      <c r="I42" s="19">
        <f t="shared" si="2"/>
        <v>0</v>
      </c>
    </row>
    <row r="43" spans="1:9" x14ac:dyDescent="0.3">
      <c r="A43" s="28" t="s">
        <v>80</v>
      </c>
      <c r="B43" s="28">
        <v>3000</v>
      </c>
      <c r="C43" s="28"/>
      <c r="D43" s="29">
        <f t="shared" si="0"/>
        <v>3000</v>
      </c>
      <c r="E43" s="28"/>
      <c r="F43" s="28"/>
      <c r="G43" s="29">
        <f t="shared" si="1"/>
        <v>3000</v>
      </c>
      <c r="H43" s="30"/>
      <c r="I43" s="19">
        <f t="shared" si="2"/>
        <v>0</v>
      </c>
    </row>
    <row r="44" spans="1:9" x14ac:dyDescent="0.3">
      <c r="A44" s="28" t="s">
        <v>93</v>
      </c>
      <c r="B44" s="28">
        <v>7</v>
      </c>
      <c r="C44" s="28"/>
      <c r="D44" s="29">
        <f t="shared" si="0"/>
        <v>7</v>
      </c>
      <c r="E44" s="28"/>
      <c r="F44" s="28"/>
      <c r="G44" s="29">
        <f t="shared" si="1"/>
        <v>7</v>
      </c>
      <c r="H44" s="30"/>
      <c r="I44" s="19">
        <f t="shared" si="2"/>
        <v>0</v>
      </c>
    </row>
    <row r="45" spans="1:9" x14ac:dyDescent="0.3">
      <c r="A45" s="28" t="s">
        <v>134</v>
      </c>
      <c r="B45" s="28"/>
      <c r="C45" s="28"/>
      <c r="D45" s="29">
        <f t="shared" si="0"/>
        <v>0</v>
      </c>
      <c r="E45" s="28"/>
      <c r="F45" s="28"/>
      <c r="G45" s="29">
        <f t="shared" si="1"/>
        <v>0</v>
      </c>
      <c r="H45" s="30"/>
      <c r="I45" s="19">
        <f t="shared" si="2"/>
        <v>0</v>
      </c>
    </row>
    <row r="46" spans="1:9" x14ac:dyDescent="0.3">
      <c r="A46" s="28" t="s">
        <v>135</v>
      </c>
      <c r="B46" s="28">
        <v>6</v>
      </c>
      <c r="C46" s="28"/>
      <c r="D46" s="29">
        <f t="shared" si="0"/>
        <v>6</v>
      </c>
      <c r="E46" s="28"/>
      <c r="F46" s="28"/>
      <c r="G46" s="29">
        <f t="shared" si="1"/>
        <v>6</v>
      </c>
      <c r="H46" s="30"/>
      <c r="I46" s="19">
        <f t="shared" si="2"/>
        <v>0</v>
      </c>
    </row>
    <row r="47" spans="1:9" x14ac:dyDescent="0.3">
      <c r="A47" s="28" t="s">
        <v>363</v>
      </c>
      <c r="B47" s="28">
        <v>7</v>
      </c>
      <c r="C47" s="28"/>
      <c r="D47" s="29">
        <f t="shared" si="0"/>
        <v>7</v>
      </c>
      <c r="E47" s="28"/>
      <c r="F47" s="28"/>
      <c r="G47" s="29">
        <f t="shared" si="1"/>
        <v>7</v>
      </c>
      <c r="H47" s="30"/>
      <c r="I47" s="19">
        <f t="shared" si="2"/>
        <v>0</v>
      </c>
    </row>
    <row r="48" spans="1:9" x14ac:dyDescent="0.3">
      <c r="A48" s="28" t="s">
        <v>288</v>
      </c>
      <c r="B48" s="28">
        <v>4</v>
      </c>
      <c r="C48" s="28"/>
      <c r="D48" s="29">
        <f t="shared" si="0"/>
        <v>4</v>
      </c>
      <c r="E48" s="28"/>
      <c r="F48" s="28"/>
      <c r="G48" s="29">
        <f t="shared" si="1"/>
        <v>4</v>
      </c>
      <c r="H48" s="30"/>
      <c r="I48" s="19">
        <f t="shared" si="2"/>
        <v>0</v>
      </c>
    </row>
    <row r="49" spans="1:9" x14ac:dyDescent="0.3">
      <c r="A49" s="28" t="s">
        <v>94</v>
      </c>
      <c r="B49" s="28"/>
      <c r="C49" s="28"/>
      <c r="D49" s="29">
        <f t="shared" si="0"/>
        <v>0</v>
      </c>
      <c r="E49" s="28"/>
      <c r="F49" s="28"/>
      <c r="G49" s="29">
        <f t="shared" si="1"/>
        <v>0</v>
      </c>
      <c r="H49" s="30"/>
      <c r="I49" s="19">
        <f t="shared" si="2"/>
        <v>0</v>
      </c>
    </row>
    <row r="50" spans="1:9" x14ac:dyDescent="0.3">
      <c r="A50" s="28" t="s">
        <v>289</v>
      </c>
      <c r="B50" s="28"/>
      <c r="C50" s="28"/>
      <c r="D50" s="29">
        <f t="shared" si="0"/>
        <v>0</v>
      </c>
      <c r="E50" s="28"/>
      <c r="F50" s="28"/>
      <c r="G50" s="29">
        <f t="shared" si="1"/>
        <v>0</v>
      </c>
      <c r="H50" s="30"/>
      <c r="I50" s="19">
        <f t="shared" si="2"/>
        <v>0</v>
      </c>
    </row>
    <row r="51" spans="1:9" x14ac:dyDescent="0.3">
      <c r="A51" s="28" t="s">
        <v>177</v>
      </c>
      <c r="B51" s="28"/>
      <c r="C51" s="28"/>
      <c r="D51" s="29">
        <f t="shared" si="0"/>
        <v>0</v>
      </c>
      <c r="E51" s="28"/>
      <c r="F51" s="28"/>
      <c r="G51" s="29">
        <f t="shared" si="1"/>
        <v>0</v>
      </c>
      <c r="H51" s="30"/>
      <c r="I51" s="19">
        <f t="shared" si="2"/>
        <v>0</v>
      </c>
    </row>
    <row r="52" spans="1:9" x14ac:dyDescent="0.3">
      <c r="A52" s="28" t="s">
        <v>178</v>
      </c>
      <c r="B52" s="28"/>
      <c r="C52" s="28"/>
      <c r="D52" s="29">
        <f t="shared" si="0"/>
        <v>0</v>
      </c>
      <c r="E52" s="28"/>
      <c r="F52" s="28"/>
      <c r="G52" s="29">
        <f t="shared" si="1"/>
        <v>0</v>
      </c>
      <c r="H52" s="30"/>
      <c r="I52" s="19">
        <f t="shared" si="2"/>
        <v>0</v>
      </c>
    </row>
    <row r="53" spans="1:9" x14ac:dyDescent="0.3">
      <c r="A53" s="28" t="s">
        <v>206</v>
      </c>
      <c r="B53" s="28"/>
      <c r="C53" s="28"/>
      <c r="D53" s="29">
        <f t="shared" si="0"/>
        <v>0</v>
      </c>
      <c r="E53" s="28"/>
      <c r="F53" s="28"/>
      <c r="G53" s="29">
        <f t="shared" si="1"/>
        <v>0</v>
      </c>
      <c r="H53" s="30"/>
      <c r="I53" s="19">
        <f t="shared" si="2"/>
        <v>0</v>
      </c>
    </row>
    <row r="54" spans="1:9" x14ac:dyDescent="0.3">
      <c r="A54" s="28" t="s">
        <v>238</v>
      </c>
      <c r="B54" s="28">
        <v>50</v>
      </c>
      <c r="C54" s="28"/>
      <c r="D54" s="29">
        <f t="shared" si="0"/>
        <v>50</v>
      </c>
      <c r="E54" s="28"/>
      <c r="F54" s="28"/>
      <c r="G54" s="29">
        <f t="shared" si="1"/>
        <v>50</v>
      </c>
      <c r="H54" s="30"/>
      <c r="I54" s="19">
        <f t="shared" si="2"/>
        <v>0</v>
      </c>
    </row>
    <row r="55" spans="1:9" x14ac:dyDescent="0.3">
      <c r="A55" s="28" t="s">
        <v>152</v>
      </c>
      <c r="B55" s="28"/>
      <c r="C55" s="28"/>
      <c r="D55" s="29">
        <f t="shared" si="0"/>
        <v>0</v>
      </c>
      <c r="E55" s="28"/>
      <c r="F55" s="28"/>
      <c r="G55" s="29">
        <f t="shared" si="1"/>
        <v>0</v>
      </c>
      <c r="H55" s="30"/>
      <c r="I55" s="19">
        <f t="shared" si="2"/>
        <v>0</v>
      </c>
    </row>
    <row r="56" spans="1:9" x14ac:dyDescent="0.3">
      <c r="A56" s="28" t="s">
        <v>254</v>
      </c>
      <c r="B56" s="28">
        <v>6</v>
      </c>
      <c r="C56" s="28"/>
      <c r="D56" s="29">
        <f t="shared" si="0"/>
        <v>6</v>
      </c>
      <c r="E56" s="28"/>
      <c r="F56" s="28"/>
      <c r="G56" s="29">
        <f t="shared" si="1"/>
        <v>6</v>
      </c>
      <c r="H56" s="30"/>
      <c r="I56" s="19">
        <f t="shared" si="2"/>
        <v>0</v>
      </c>
    </row>
    <row r="57" spans="1:9" x14ac:dyDescent="0.3">
      <c r="A57" s="28" t="s">
        <v>396</v>
      </c>
      <c r="B57" s="28">
        <v>9</v>
      </c>
      <c r="C57" s="28"/>
      <c r="D57" s="29">
        <f t="shared" si="0"/>
        <v>9</v>
      </c>
      <c r="E57" s="28"/>
      <c r="F57" s="28"/>
      <c r="G57" s="29">
        <f t="shared" si="1"/>
        <v>9</v>
      </c>
      <c r="H57" s="31"/>
      <c r="I57" s="19">
        <f t="shared" si="2"/>
        <v>0</v>
      </c>
    </row>
    <row r="58" spans="1:9" x14ac:dyDescent="0.3">
      <c r="A58" s="28" t="s">
        <v>255</v>
      </c>
      <c r="B58" s="28"/>
      <c r="C58" s="28"/>
      <c r="D58" s="29">
        <f t="shared" si="0"/>
        <v>0</v>
      </c>
      <c r="E58" s="28"/>
      <c r="F58" s="28"/>
      <c r="G58" s="29">
        <f t="shared" si="1"/>
        <v>0</v>
      </c>
      <c r="H58" s="30"/>
      <c r="I58" s="19">
        <f t="shared" si="2"/>
        <v>0</v>
      </c>
    </row>
    <row r="59" spans="1:9" x14ac:dyDescent="0.3">
      <c r="A59" s="28" t="s">
        <v>256</v>
      </c>
      <c r="B59" s="28"/>
      <c r="C59" s="28"/>
      <c r="D59" s="29">
        <f t="shared" si="0"/>
        <v>0</v>
      </c>
      <c r="E59" s="28"/>
      <c r="F59" s="28"/>
      <c r="G59" s="29">
        <f t="shared" si="1"/>
        <v>0</v>
      </c>
      <c r="H59" s="30"/>
      <c r="I59" s="19">
        <f t="shared" si="2"/>
        <v>0</v>
      </c>
    </row>
    <row r="60" spans="1:9" x14ac:dyDescent="0.3">
      <c r="A60" s="28" t="s">
        <v>273</v>
      </c>
      <c r="B60" s="28"/>
      <c r="C60" s="28"/>
      <c r="D60" s="29">
        <f t="shared" si="0"/>
        <v>0</v>
      </c>
      <c r="E60" s="28"/>
      <c r="F60" s="28"/>
      <c r="G60" s="29">
        <f t="shared" si="1"/>
        <v>0</v>
      </c>
      <c r="H60" s="30"/>
      <c r="I60" s="19">
        <f t="shared" si="2"/>
        <v>0</v>
      </c>
    </row>
    <row r="61" spans="1:9" x14ac:dyDescent="0.3">
      <c r="A61" s="28" t="s">
        <v>274</v>
      </c>
      <c r="B61" s="28">
        <v>34</v>
      </c>
      <c r="C61" s="28"/>
      <c r="D61" s="29">
        <f t="shared" si="0"/>
        <v>34</v>
      </c>
      <c r="E61" s="28"/>
      <c r="F61" s="28"/>
      <c r="G61" s="29">
        <f t="shared" si="1"/>
        <v>34</v>
      </c>
      <c r="H61" s="30"/>
      <c r="I61" s="19">
        <f t="shared" si="2"/>
        <v>0</v>
      </c>
    </row>
    <row r="62" spans="1:9" x14ac:dyDescent="0.3">
      <c r="A62" s="28" t="s">
        <v>284</v>
      </c>
      <c r="B62" s="28"/>
      <c r="C62" s="28"/>
      <c r="D62" s="29">
        <f t="shared" si="0"/>
        <v>0</v>
      </c>
      <c r="E62" s="28"/>
      <c r="F62" s="28"/>
      <c r="G62" s="29">
        <f t="shared" si="1"/>
        <v>0</v>
      </c>
      <c r="H62" s="30"/>
      <c r="I62" s="19">
        <f t="shared" si="2"/>
        <v>0</v>
      </c>
    </row>
    <row r="63" spans="1:9" x14ac:dyDescent="0.3">
      <c r="A63" s="28" t="s">
        <v>275</v>
      </c>
      <c r="B63" s="28"/>
      <c r="C63" s="28"/>
      <c r="D63" s="29">
        <f t="shared" si="0"/>
        <v>0</v>
      </c>
      <c r="E63" s="28"/>
      <c r="F63" s="28"/>
      <c r="G63" s="29">
        <f t="shared" si="1"/>
        <v>0</v>
      </c>
      <c r="H63" s="30"/>
      <c r="I63" s="19">
        <f t="shared" si="2"/>
        <v>0</v>
      </c>
    </row>
    <row r="64" spans="1:9" x14ac:dyDescent="0.3">
      <c r="A64" s="28" t="s">
        <v>390</v>
      </c>
      <c r="B64" s="28"/>
      <c r="C64" s="28"/>
      <c r="D64" s="29">
        <f t="shared" si="0"/>
        <v>0</v>
      </c>
      <c r="E64" s="28"/>
      <c r="F64" s="28"/>
      <c r="G64" s="29">
        <f t="shared" si="1"/>
        <v>0</v>
      </c>
      <c r="H64" s="30"/>
      <c r="I64" s="19">
        <f t="shared" si="2"/>
        <v>0</v>
      </c>
    </row>
    <row r="65" spans="1:9" x14ac:dyDescent="0.3">
      <c r="A65" s="28" t="s">
        <v>290</v>
      </c>
      <c r="B65" s="28">
        <v>4</v>
      </c>
      <c r="C65" s="28"/>
      <c r="D65" s="29">
        <f t="shared" si="0"/>
        <v>4</v>
      </c>
      <c r="E65" s="28"/>
      <c r="F65" s="28"/>
      <c r="G65" s="29">
        <f t="shared" si="1"/>
        <v>4</v>
      </c>
      <c r="H65" s="30"/>
      <c r="I65" s="19">
        <f t="shared" si="2"/>
        <v>0</v>
      </c>
    </row>
    <row r="66" spans="1:9" x14ac:dyDescent="0.3">
      <c r="A66" s="28" t="s">
        <v>291</v>
      </c>
      <c r="B66" s="28"/>
      <c r="C66" s="28"/>
      <c r="D66" s="29">
        <f t="shared" si="0"/>
        <v>0</v>
      </c>
      <c r="E66" s="28"/>
      <c r="F66" s="28"/>
      <c r="G66" s="29">
        <f t="shared" si="1"/>
        <v>0</v>
      </c>
      <c r="H66" s="30"/>
      <c r="I66" s="19">
        <f t="shared" si="2"/>
        <v>0</v>
      </c>
    </row>
    <row r="67" spans="1:9" x14ac:dyDescent="0.3">
      <c r="A67" s="28" t="s">
        <v>300</v>
      </c>
      <c r="B67" s="28"/>
      <c r="C67" s="28"/>
      <c r="D67" s="29">
        <f t="shared" si="0"/>
        <v>0</v>
      </c>
      <c r="E67" s="28"/>
      <c r="F67" s="28"/>
      <c r="G67" s="29">
        <f t="shared" si="1"/>
        <v>0</v>
      </c>
      <c r="H67" s="30"/>
      <c r="I67" s="19">
        <f t="shared" si="2"/>
        <v>0</v>
      </c>
    </row>
    <row r="68" spans="1:9" x14ac:dyDescent="0.3">
      <c r="A68" s="28" t="s">
        <v>353</v>
      </c>
      <c r="B68" s="28"/>
      <c r="C68" s="28"/>
      <c r="D68" s="29">
        <f t="shared" si="0"/>
        <v>0</v>
      </c>
      <c r="E68" s="28"/>
      <c r="F68" s="28"/>
      <c r="G68" s="29">
        <f t="shared" si="1"/>
        <v>0</v>
      </c>
      <c r="H68" s="30"/>
      <c r="I68" s="19">
        <f t="shared" si="2"/>
        <v>0</v>
      </c>
    </row>
    <row r="69" spans="1:9" x14ac:dyDescent="0.3">
      <c r="A69" s="28" t="s">
        <v>354</v>
      </c>
      <c r="B69" s="28"/>
      <c r="C69" s="28"/>
      <c r="D69" s="29">
        <f t="shared" si="0"/>
        <v>0</v>
      </c>
      <c r="E69" s="28"/>
      <c r="F69" s="28"/>
      <c r="G69" s="29">
        <f t="shared" si="1"/>
        <v>0</v>
      </c>
      <c r="H69" s="30"/>
      <c r="I69" s="19">
        <f t="shared" si="2"/>
        <v>0</v>
      </c>
    </row>
    <row r="70" spans="1:9" x14ac:dyDescent="0.3">
      <c r="A70" s="28" t="s">
        <v>364</v>
      </c>
      <c r="B70" s="28">
        <v>3</v>
      </c>
      <c r="C70" s="28"/>
      <c r="D70" s="29">
        <f t="shared" si="0"/>
        <v>3</v>
      </c>
      <c r="E70" s="28"/>
      <c r="F70" s="28"/>
      <c r="G70" s="29">
        <f t="shared" si="1"/>
        <v>3</v>
      </c>
      <c r="H70" s="30"/>
      <c r="I70" s="19">
        <f t="shared" si="2"/>
        <v>0</v>
      </c>
    </row>
    <row r="71" spans="1:9" x14ac:dyDescent="0.3">
      <c r="A71" s="28" t="s">
        <v>392</v>
      </c>
      <c r="B71" s="28">
        <v>1</v>
      </c>
      <c r="C71" s="28"/>
      <c r="D71" s="29">
        <f t="shared" si="0"/>
        <v>1</v>
      </c>
      <c r="E71" s="28"/>
      <c r="F71" s="28"/>
      <c r="G71" s="29">
        <f t="shared" si="1"/>
        <v>1</v>
      </c>
      <c r="H71" s="30"/>
      <c r="I71" s="19">
        <f t="shared" si="2"/>
        <v>0</v>
      </c>
    </row>
    <row r="72" spans="1:9" x14ac:dyDescent="0.3">
      <c r="A72" s="28" t="s">
        <v>389</v>
      </c>
      <c r="B72" s="28"/>
      <c r="C72" s="28"/>
      <c r="D72" s="29">
        <f t="shared" si="0"/>
        <v>0</v>
      </c>
      <c r="E72" s="28"/>
      <c r="F72" s="28"/>
      <c r="G72" s="29">
        <f t="shared" si="1"/>
        <v>0</v>
      </c>
      <c r="H72" s="30"/>
      <c r="I72" s="19">
        <f t="shared" si="2"/>
        <v>0</v>
      </c>
    </row>
    <row r="73" spans="1:9" x14ac:dyDescent="0.3">
      <c r="A73" s="28" t="s">
        <v>393</v>
      </c>
      <c r="B73" s="28"/>
      <c r="C73" s="28"/>
      <c r="D73" s="29">
        <f t="shared" si="0"/>
        <v>0</v>
      </c>
      <c r="E73" s="28"/>
      <c r="F73" s="28"/>
      <c r="G73" s="29">
        <f t="shared" si="1"/>
        <v>0</v>
      </c>
      <c r="H73" s="30"/>
      <c r="I73" s="19">
        <f t="shared" si="2"/>
        <v>0</v>
      </c>
    </row>
    <row r="74" spans="1:9" x14ac:dyDescent="0.3">
      <c r="A74" s="28"/>
      <c r="B74" s="28"/>
      <c r="C74" s="28"/>
      <c r="D74" s="29"/>
      <c r="E74" s="28"/>
      <c r="F74" s="28"/>
      <c r="G74" s="29"/>
      <c r="H74" s="30"/>
      <c r="I74" s="19"/>
    </row>
    <row r="75" spans="1:9" x14ac:dyDescent="0.3">
      <c r="A75" s="24" t="s">
        <v>15</v>
      </c>
      <c r="B75" s="28"/>
      <c r="C75" s="28"/>
      <c r="D75" s="29">
        <f t="shared" si="0"/>
        <v>0</v>
      </c>
      <c r="E75" s="28"/>
      <c r="F75" s="28"/>
      <c r="G75" s="29">
        <f t="shared" si="1"/>
        <v>0</v>
      </c>
      <c r="H75" s="30"/>
      <c r="I75" s="19">
        <f t="shared" si="2"/>
        <v>0</v>
      </c>
    </row>
    <row r="76" spans="1:9" x14ac:dyDescent="0.3">
      <c r="A76" s="28" t="s">
        <v>16</v>
      </c>
      <c r="B76" s="28"/>
      <c r="C76" s="28"/>
      <c r="D76" s="29">
        <f t="shared" si="0"/>
        <v>0</v>
      </c>
      <c r="E76" s="28"/>
      <c r="F76" s="28"/>
      <c r="G76" s="29">
        <f t="shared" si="1"/>
        <v>0</v>
      </c>
      <c r="H76" s="30"/>
      <c r="I76" s="19">
        <f t="shared" si="2"/>
        <v>0</v>
      </c>
    </row>
    <row r="77" spans="1:9" x14ac:dyDescent="0.3">
      <c r="A77" s="28" t="s">
        <v>266</v>
      </c>
      <c r="B77" s="28">
        <v>3500</v>
      </c>
      <c r="C77" s="28"/>
      <c r="D77" s="29">
        <f t="shared" si="0"/>
        <v>3500</v>
      </c>
      <c r="E77" s="28"/>
      <c r="F77" s="28"/>
      <c r="G77" s="29">
        <f t="shared" si="1"/>
        <v>3500</v>
      </c>
      <c r="H77" s="30"/>
      <c r="I77" s="19">
        <f t="shared" si="2"/>
        <v>0</v>
      </c>
    </row>
    <row r="78" spans="1:9" x14ac:dyDescent="0.3">
      <c r="A78" s="28" t="s">
        <v>208</v>
      </c>
      <c r="B78" s="28"/>
      <c r="C78" s="28"/>
      <c r="D78" s="29">
        <f t="shared" si="0"/>
        <v>0</v>
      </c>
      <c r="E78" s="28"/>
      <c r="F78" s="28"/>
      <c r="G78" s="29">
        <f t="shared" si="1"/>
        <v>0</v>
      </c>
      <c r="H78" s="30"/>
      <c r="I78" s="19">
        <f t="shared" si="2"/>
        <v>0</v>
      </c>
    </row>
    <row r="79" spans="1:9" x14ac:dyDescent="0.3">
      <c r="A79" s="28" t="s">
        <v>17</v>
      </c>
      <c r="B79" s="28">
        <v>310</v>
      </c>
      <c r="C79" s="28"/>
      <c r="D79" s="29">
        <f t="shared" si="0"/>
        <v>310</v>
      </c>
      <c r="E79" s="28"/>
      <c r="F79" s="28"/>
      <c r="G79" s="29">
        <f t="shared" si="1"/>
        <v>310</v>
      </c>
      <c r="H79" s="30"/>
      <c r="I79" s="19">
        <f t="shared" si="2"/>
        <v>0</v>
      </c>
    </row>
    <row r="80" spans="1:9" x14ac:dyDescent="0.3">
      <c r="A80" s="28" t="s">
        <v>18</v>
      </c>
      <c r="B80" s="28"/>
      <c r="C80" s="28"/>
      <c r="D80" s="29">
        <f t="shared" si="0"/>
        <v>0</v>
      </c>
      <c r="E80" s="28"/>
      <c r="F80" s="28"/>
      <c r="G80" s="29">
        <f t="shared" si="1"/>
        <v>0</v>
      </c>
      <c r="H80" s="30"/>
      <c r="I80" s="19">
        <f t="shared" si="2"/>
        <v>0</v>
      </c>
    </row>
    <row r="81" spans="1:9" x14ac:dyDescent="0.3">
      <c r="A81" s="28" t="s">
        <v>19</v>
      </c>
      <c r="B81" s="28">
        <v>2500</v>
      </c>
      <c r="C81" s="28"/>
      <c r="D81" s="29">
        <f t="shared" si="0"/>
        <v>2500</v>
      </c>
      <c r="E81" s="28"/>
      <c r="F81" s="28"/>
      <c r="G81" s="29">
        <f t="shared" si="1"/>
        <v>2500</v>
      </c>
      <c r="H81" s="30"/>
      <c r="I81" s="19">
        <f t="shared" si="2"/>
        <v>0</v>
      </c>
    </row>
    <row r="82" spans="1:9" x14ac:dyDescent="0.3">
      <c r="A82" s="28" t="s">
        <v>267</v>
      </c>
      <c r="B82" s="28"/>
      <c r="C82" s="28"/>
      <c r="D82" s="29">
        <f t="shared" si="0"/>
        <v>0</v>
      </c>
      <c r="E82" s="28"/>
      <c r="F82" s="28"/>
      <c r="G82" s="29">
        <f t="shared" si="1"/>
        <v>0</v>
      </c>
      <c r="H82" s="30"/>
      <c r="I82" s="19">
        <f t="shared" si="2"/>
        <v>0</v>
      </c>
    </row>
    <row r="83" spans="1:9" x14ac:dyDescent="0.3">
      <c r="A83" s="28" t="s">
        <v>86</v>
      </c>
      <c r="B83" s="28">
        <v>10</v>
      </c>
      <c r="C83" s="28"/>
      <c r="D83" s="29">
        <f t="shared" si="0"/>
        <v>10</v>
      </c>
      <c r="E83" s="28"/>
      <c r="F83" s="28"/>
      <c r="G83" s="29">
        <f t="shared" si="1"/>
        <v>10</v>
      </c>
      <c r="H83" s="31"/>
      <c r="I83" s="19">
        <f t="shared" si="2"/>
        <v>0</v>
      </c>
    </row>
    <row r="84" spans="1:9" x14ac:dyDescent="0.3">
      <c r="A84" s="28" t="s">
        <v>87</v>
      </c>
      <c r="B84" s="28">
        <v>50</v>
      </c>
      <c r="C84" s="28"/>
      <c r="D84" s="29">
        <f t="shared" si="0"/>
        <v>50</v>
      </c>
      <c r="E84" s="28"/>
      <c r="F84" s="28"/>
      <c r="G84" s="29">
        <f t="shared" si="1"/>
        <v>50</v>
      </c>
      <c r="H84" s="31"/>
      <c r="I84" s="19">
        <f t="shared" si="2"/>
        <v>0</v>
      </c>
    </row>
    <row r="85" spans="1:9" x14ac:dyDescent="0.3">
      <c r="A85" s="28" t="s">
        <v>85</v>
      </c>
      <c r="B85" s="28">
        <v>2</v>
      </c>
      <c r="C85" s="28"/>
      <c r="D85" s="29">
        <f t="shared" si="0"/>
        <v>2</v>
      </c>
      <c r="E85" s="28"/>
      <c r="F85" s="28"/>
      <c r="G85" s="29">
        <f t="shared" si="1"/>
        <v>2</v>
      </c>
      <c r="H85" s="32"/>
      <c r="I85" s="19">
        <f t="shared" si="2"/>
        <v>0</v>
      </c>
    </row>
    <row r="86" spans="1:9" x14ac:dyDescent="0.3">
      <c r="A86" s="28" t="s">
        <v>88</v>
      </c>
      <c r="B86" s="28">
        <v>4</v>
      </c>
      <c r="C86" s="28"/>
      <c r="D86" s="29">
        <f t="shared" si="0"/>
        <v>4</v>
      </c>
      <c r="E86" s="28"/>
      <c r="F86" s="28"/>
      <c r="G86" s="29">
        <f t="shared" si="1"/>
        <v>4</v>
      </c>
      <c r="H86" s="32"/>
      <c r="I86" s="19">
        <f t="shared" si="2"/>
        <v>0</v>
      </c>
    </row>
    <row r="87" spans="1:9" x14ac:dyDescent="0.3">
      <c r="A87" s="28" t="s">
        <v>89</v>
      </c>
      <c r="B87" s="28"/>
      <c r="C87" s="28"/>
      <c r="D87" s="29">
        <f t="shared" si="0"/>
        <v>0</v>
      </c>
      <c r="E87" s="28"/>
      <c r="F87" s="28"/>
      <c r="G87" s="29">
        <f t="shared" si="1"/>
        <v>0</v>
      </c>
      <c r="H87" s="32"/>
      <c r="I87" s="19">
        <f t="shared" si="2"/>
        <v>0</v>
      </c>
    </row>
    <row r="88" spans="1:9" x14ac:dyDescent="0.3">
      <c r="A88" s="28" t="s">
        <v>90</v>
      </c>
      <c r="B88" s="28">
        <v>8</v>
      </c>
      <c r="C88" s="28"/>
      <c r="D88" s="29">
        <f t="shared" si="0"/>
        <v>8</v>
      </c>
      <c r="E88" s="28"/>
      <c r="F88" s="28"/>
      <c r="G88" s="29">
        <f t="shared" si="1"/>
        <v>8</v>
      </c>
      <c r="H88" s="30"/>
      <c r="I88" s="19">
        <f t="shared" si="2"/>
        <v>0</v>
      </c>
    </row>
    <row r="89" spans="1:9" x14ac:dyDescent="0.3">
      <c r="A89" s="28" t="s">
        <v>99</v>
      </c>
      <c r="B89" s="28">
        <v>15</v>
      </c>
      <c r="C89" s="28"/>
      <c r="D89" s="29">
        <f t="shared" si="0"/>
        <v>15</v>
      </c>
      <c r="E89" s="28"/>
      <c r="F89" s="28"/>
      <c r="G89" s="29">
        <f t="shared" si="1"/>
        <v>15</v>
      </c>
      <c r="H89" s="32"/>
      <c r="I89" s="19">
        <f t="shared" si="2"/>
        <v>0</v>
      </c>
    </row>
    <row r="90" spans="1:9" x14ac:dyDescent="0.3">
      <c r="A90" s="28" t="s">
        <v>117</v>
      </c>
      <c r="B90" s="28"/>
      <c r="C90" s="28"/>
      <c r="D90" s="29">
        <f t="shared" ref="D90:D165" si="3">B90+C90</f>
        <v>0</v>
      </c>
      <c r="E90" s="28"/>
      <c r="F90" s="28"/>
      <c r="G90" s="29">
        <f t="shared" si="1"/>
        <v>0</v>
      </c>
      <c r="H90" s="30"/>
      <c r="I90" s="19">
        <f t="shared" si="2"/>
        <v>0</v>
      </c>
    </row>
    <row r="91" spans="1:9" x14ac:dyDescent="0.3">
      <c r="A91" s="28" t="s">
        <v>150</v>
      </c>
      <c r="B91" s="28">
        <v>20</v>
      </c>
      <c r="C91" s="28"/>
      <c r="D91" s="29">
        <f t="shared" si="3"/>
        <v>20</v>
      </c>
      <c r="E91" s="28"/>
      <c r="F91" s="28"/>
      <c r="G91" s="29">
        <f t="shared" si="1"/>
        <v>20</v>
      </c>
      <c r="H91" s="30"/>
      <c r="I91" s="19">
        <f t="shared" si="2"/>
        <v>0</v>
      </c>
    </row>
    <row r="92" spans="1:9" x14ac:dyDescent="0.3">
      <c r="A92" s="28" t="s">
        <v>217</v>
      </c>
      <c r="B92" s="28"/>
      <c r="C92" s="28"/>
      <c r="D92" s="29">
        <f t="shared" si="3"/>
        <v>0</v>
      </c>
      <c r="E92" s="28"/>
      <c r="F92" s="28"/>
      <c r="G92" s="29">
        <f t="shared" si="1"/>
        <v>0</v>
      </c>
      <c r="H92" s="30"/>
      <c r="I92" s="19">
        <f t="shared" si="2"/>
        <v>0</v>
      </c>
    </row>
    <row r="93" spans="1:9" x14ac:dyDescent="0.3">
      <c r="A93" s="28" t="s">
        <v>355</v>
      </c>
      <c r="B93" s="28"/>
      <c r="C93" s="28"/>
      <c r="D93" s="29">
        <f t="shared" si="3"/>
        <v>0</v>
      </c>
      <c r="E93" s="28"/>
      <c r="F93" s="28"/>
      <c r="G93" s="29">
        <f t="shared" si="1"/>
        <v>0</v>
      </c>
      <c r="H93" s="30"/>
      <c r="I93" s="19">
        <f t="shared" si="2"/>
        <v>0</v>
      </c>
    </row>
    <row r="94" spans="1:9" x14ac:dyDescent="0.3">
      <c r="A94" s="28" t="s">
        <v>247</v>
      </c>
      <c r="B94" s="28">
        <v>1</v>
      </c>
      <c r="C94" s="28"/>
      <c r="D94" s="29">
        <f t="shared" si="3"/>
        <v>1</v>
      </c>
      <c r="E94" s="28"/>
      <c r="F94" s="28"/>
      <c r="G94" s="29">
        <f t="shared" si="1"/>
        <v>1</v>
      </c>
      <c r="H94" s="30"/>
      <c r="I94" s="19">
        <f t="shared" si="2"/>
        <v>0</v>
      </c>
    </row>
    <row r="95" spans="1:9" x14ac:dyDescent="0.3">
      <c r="A95" s="28" t="s">
        <v>257</v>
      </c>
      <c r="B95" s="28">
        <v>7</v>
      </c>
      <c r="C95" s="28"/>
      <c r="D95" s="29">
        <f t="shared" si="3"/>
        <v>7</v>
      </c>
      <c r="E95" s="28"/>
      <c r="F95" s="28"/>
      <c r="G95" s="29">
        <f t="shared" si="1"/>
        <v>7</v>
      </c>
      <c r="H95" s="30"/>
      <c r="I95" s="19">
        <f t="shared" si="2"/>
        <v>0</v>
      </c>
    </row>
    <row r="96" spans="1:9" x14ac:dyDescent="0.3">
      <c r="A96" s="28" t="s">
        <v>265</v>
      </c>
      <c r="B96" s="28">
        <v>10</v>
      </c>
      <c r="C96" s="28"/>
      <c r="D96" s="29">
        <f t="shared" si="3"/>
        <v>10</v>
      </c>
      <c r="E96" s="28"/>
      <c r="F96" s="28"/>
      <c r="G96" s="29">
        <f t="shared" si="1"/>
        <v>10</v>
      </c>
      <c r="H96" s="30"/>
      <c r="I96" s="19">
        <f t="shared" si="2"/>
        <v>0</v>
      </c>
    </row>
    <row r="97" spans="1:9" x14ac:dyDescent="0.3">
      <c r="A97" s="28" t="s">
        <v>292</v>
      </c>
      <c r="B97" s="28">
        <v>1</v>
      </c>
      <c r="C97" s="28"/>
      <c r="D97" s="29">
        <f t="shared" si="3"/>
        <v>1</v>
      </c>
      <c r="E97" s="28"/>
      <c r="F97" s="28"/>
      <c r="G97" s="29">
        <f t="shared" si="1"/>
        <v>1</v>
      </c>
      <c r="H97" s="30"/>
      <c r="I97" s="19">
        <f t="shared" si="2"/>
        <v>0</v>
      </c>
    </row>
    <row r="98" spans="1:9" x14ac:dyDescent="0.3">
      <c r="A98" s="28" t="s">
        <v>301</v>
      </c>
      <c r="B98" s="28"/>
      <c r="C98" s="28"/>
      <c r="D98" s="29">
        <f t="shared" si="3"/>
        <v>0</v>
      </c>
      <c r="E98" s="28"/>
      <c r="F98" s="28"/>
      <c r="G98" s="29">
        <f t="shared" si="1"/>
        <v>0</v>
      </c>
      <c r="H98" s="30"/>
      <c r="I98" s="19">
        <f t="shared" si="2"/>
        <v>0</v>
      </c>
    </row>
    <row r="99" spans="1:9" x14ac:dyDescent="0.3">
      <c r="A99" s="28" t="s">
        <v>316</v>
      </c>
      <c r="B99" s="28"/>
      <c r="C99" s="28"/>
      <c r="D99" s="29">
        <f t="shared" si="3"/>
        <v>0</v>
      </c>
      <c r="E99" s="28"/>
      <c r="F99" s="28"/>
      <c r="G99" s="29">
        <f t="shared" si="1"/>
        <v>0</v>
      </c>
      <c r="H99" s="30"/>
      <c r="I99" s="19">
        <f t="shared" si="2"/>
        <v>0</v>
      </c>
    </row>
    <row r="100" spans="1:9" x14ac:dyDescent="0.3">
      <c r="A100" s="28" t="s">
        <v>336</v>
      </c>
      <c r="B100" s="28">
        <v>20</v>
      </c>
      <c r="C100" s="28"/>
      <c r="D100" s="29">
        <f t="shared" si="3"/>
        <v>20</v>
      </c>
      <c r="E100" s="28"/>
      <c r="F100" s="28"/>
      <c r="G100" s="29">
        <f t="shared" si="1"/>
        <v>20</v>
      </c>
      <c r="H100" s="30"/>
      <c r="I100" s="19">
        <f t="shared" si="2"/>
        <v>0</v>
      </c>
    </row>
    <row r="101" spans="1:9" x14ac:dyDescent="0.3">
      <c r="A101" s="28" t="s">
        <v>323</v>
      </c>
      <c r="B101" s="28">
        <v>5</v>
      </c>
      <c r="C101" s="28"/>
      <c r="D101" s="29">
        <f t="shared" si="3"/>
        <v>5</v>
      </c>
      <c r="E101" s="28"/>
      <c r="F101" s="28"/>
      <c r="G101" s="29">
        <f t="shared" si="1"/>
        <v>5</v>
      </c>
      <c r="H101" s="30"/>
      <c r="I101" s="19">
        <f t="shared" si="2"/>
        <v>0</v>
      </c>
    </row>
    <row r="102" spans="1:9" x14ac:dyDescent="0.3">
      <c r="A102" s="28" t="s">
        <v>348</v>
      </c>
      <c r="B102" s="28"/>
      <c r="C102" s="28"/>
      <c r="D102" s="29">
        <f t="shared" si="3"/>
        <v>0</v>
      </c>
      <c r="E102" s="28"/>
      <c r="F102" s="28"/>
      <c r="G102" s="29">
        <f t="shared" si="1"/>
        <v>0</v>
      </c>
      <c r="H102" s="30"/>
      <c r="I102" s="19">
        <f t="shared" si="2"/>
        <v>0</v>
      </c>
    </row>
    <row r="103" spans="1:9" x14ac:dyDescent="0.3">
      <c r="A103" s="28" t="s">
        <v>356</v>
      </c>
      <c r="B103" s="28">
        <v>2</v>
      </c>
      <c r="C103" s="28"/>
      <c r="D103" s="29">
        <f t="shared" si="3"/>
        <v>2</v>
      </c>
      <c r="E103" s="28"/>
      <c r="F103" s="28"/>
      <c r="G103" s="29">
        <f t="shared" si="1"/>
        <v>2</v>
      </c>
      <c r="H103" s="30"/>
      <c r="I103" s="19">
        <f t="shared" si="2"/>
        <v>0</v>
      </c>
    </row>
    <row r="104" spans="1:9" x14ac:dyDescent="0.3">
      <c r="A104" s="28"/>
      <c r="B104" s="28"/>
      <c r="C104" s="28"/>
      <c r="D104" s="29"/>
      <c r="E104" s="28"/>
      <c r="F104" s="28"/>
      <c r="G104" s="29"/>
      <c r="H104" s="30"/>
      <c r="I104" s="19"/>
    </row>
    <row r="105" spans="1:9" x14ac:dyDescent="0.3">
      <c r="A105" s="24" t="s">
        <v>20</v>
      </c>
      <c r="B105" s="28"/>
      <c r="C105" s="28"/>
      <c r="D105" s="29">
        <f t="shared" si="3"/>
        <v>0</v>
      </c>
      <c r="E105" s="28"/>
      <c r="F105" s="28"/>
      <c r="G105" s="29">
        <f t="shared" si="1"/>
        <v>0</v>
      </c>
      <c r="H105" s="30"/>
      <c r="I105" s="19">
        <f t="shared" si="2"/>
        <v>0</v>
      </c>
    </row>
    <row r="106" spans="1:9" x14ac:dyDescent="0.3">
      <c r="A106" s="28" t="s">
        <v>21</v>
      </c>
      <c r="B106" s="28">
        <v>400</v>
      </c>
      <c r="C106" s="28"/>
      <c r="D106" s="29">
        <f t="shared" si="3"/>
        <v>400</v>
      </c>
      <c r="E106" s="28"/>
      <c r="F106" s="28"/>
      <c r="G106" s="29">
        <f t="shared" si="1"/>
        <v>400</v>
      </c>
      <c r="H106" s="30"/>
      <c r="I106" s="19">
        <f t="shared" si="2"/>
        <v>0</v>
      </c>
    </row>
    <row r="107" spans="1:9" x14ac:dyDescent="0.3">
      <c r="A107" s="28" t="s">
        <v>285</v>
      </c>
      <c r="B107" s="28"/>
      <c r="C107" s="28"/>
      <c r="D107" s="29">
        <f t="shared" si="3"/>
        <v>0</v>
      </c>
      <c r="E107" s="28"/>
      <c r="F107" s="28"/>
      <c r="G107" s="29">
        <f t="shared" si="1"/>
        <v>0</v>
      </c>
      <c r="H107" s="30"/>
      <c r="I107" s="19">
        <f t="shared" si="2"/>
        <v>0</v>
      </c>
    </row>
    <row r="108" spans="1:9" x14ac:dyDescent="0.3">
      <c r="A108" s="28" t="s">
        <v>95</v>
      </c>
      <c r="B108" s="28">
        <v>8</v>
      </c>
      <c r="C108" s="28"/>
      <c r="D108" s="29">
        <f t="shared" si="3"/>
        <v>8</v>
      </c>
      <c r="E108" s="28"/>
      <c r="F108" s="28"/>
      <c r="G108" s="29">
        <f t="shared" si="1"/>
        <v>8</v>
      </c>
      <c r="H108" s="31"/>
      <c r="I108" s="19">
        <f t="shared" si="2"/>
        <v>0</v>
      </c>
    </row>
    <row r="109" spans="1:9" x14ac:dyDescent="0.3">
      <c r="A109" s="28" t="s">
        <v>113</v>
      </c>
      <c r="B109" s="28">
        <v>2</v>
      </c>
      <c r="C109" s="28"/>
      <c r="D109" s="29">
        <f t="shared" si="3"/>
        <v>2</v>
      </c>
      <c r="E109" s="28"/>
      <c r="F109" s="28"/>
      <c r="G109" s="29">
        <f t="shared" si="1"/>
        <v>2</v>
      </c>
      <c r="H109" s="30"/>
      <c r="I109" s="19">
        <f t="shared" si="2"/>
        <v>0</v>
      </c>
    </row>
    <row r="110" spans="1:9" x14ac:dyDescent="0.3">
      <c r="A110" s="28" t="s">
        <v>239</v>
      </c>
      <c r="B110" s="28"/>
      <c r="C110" s="28"/>
      <c r="D110" s="29">
        <f t="shared" si="3"/>
        <v>0</v>
      </c>
      <c r="E110" s="28"/>
      <c r="F110" s="28"/>
      <c r="G110" s="29">
        <f t="shared" si="1"/>
        <v>0</v>
      </c>
      <c r="H110" s="30"/>
      <c r="I110" s="19">
        <f t="shared" si="2"/>
        <v>0</v>
      </c>
    </row>
    <row r="111" spans="1:9" x14ac:dyDescent="0.3">
      <c r="A111" s="28" t="s">
        <v>334</v>
      </c>
      <c r="B111" s="28"/>
      <c r="C111" s="28"/>
      <c r="D111" s="29">
        <f t="shared" si="3"/>
        <v>0</v>
      </c>
      <c r="E111" s="28"/>
      <c r="F111" s="28"/>
      <c r="G111" s="29">
        <f t="shared" si="1"/>
        <v>0</v>
      </c>
      <c r="H111" s="30"/>
      <c r="I111" s="19">
        <f t="shared" si="2"/>
        <v>0</v>
      </c>
    </row>
    <row r="112" spans="1:9" x14ac:dyDescent="0.3">
      <c r="A112" s="28" t="s">
        <v>342</v>
      </c>
      <c r="B112" s="28"/>
      <c r="C112" s="28"/>
      <c r="D112" s="29">
        <f t="shared" si="3"/>
        <v>0</v>
      </c>
      <c r="E112" s="28"/>
      <c r="F112" s="28"/>
      <c r="G112" s="29">
        <f t="shared" si="1"/>
        <v>0</v>
      </c>
      <c r="H112" s="30"/>
      <c r="I112" s="19">
        <f t="shared" si="2"/>
        <v>0</v>
      </c>
    </row>
    <row r="113" spans="1:9" x14ac:dyDescent="0.3">
      <c r="A113" s="28" t="s">
        <v>365</v>
      </c>
      <c r="B113" s="28"/>
      <c r="C113" s="28"/>
      <c r="D113" s="29">
        <f t="shared" si="3"/>
        <v>0</v>
      </c>
      <c r="E113" s="28"/>
      <c r="F113" s="28"/>
      <c r="G113" s="29">
        <f t="shared" si="1"/>
        <v>0</v>
      </c>
      <c r="H113" s="30"/>
      <c r="I113" s="19">
        <f t="shared" si="2"/>
        <v>0</v>
      </c>
    </row>
    <row r="114" spans="1:9" x14ac:dyDescent="0.3">
      <c r="A114" s="28"/>
      <c r="B114" s="28"/>
      <c r="C114" s="28"/>
      <c r="D114" s="29">
        <f t="shared" si="3"/>
        <v>0</v>
      </c>
      <c r="E114" s="28"/>
      <c r="F114" s="28"/>
      <c r="G114" s="29">
        <f t="shared" si="1"/>
        <v>0</v>
      </c>
      <c r="H114" s="30"/>
      <c r="I114" s="19">
        <f t="shared" si="2"/>
        <v>0</v>
      </c>
    </row>
    <row r="115" spans="1:9" x14ac:dyDescent="0.3">
      <c r="A115" s="24" t="s">
        <v>22</v>
      </c>
      <c r="B115" s="28"/>
      <c r="C115" s="28"/>
      <c r="D115" s="29">
        <f t="shared" si="3"/>
        <v>0</v>
      </c>
      <c r="E115" s="28"/>
      <c r="F115" s="28"/>
      <c r="G115" s="29">
        <f>D115-E115-F115</f>
        <v>0</v>
      </c>
      <c r="H115" s="30"/>
      <c r="I115" s="19">
        <f t="shared" si="2"/>
        <v>0</v>
      </c>
    </row>
    <row r="116" spans="1:9" x14ac:dyDescent="0.3">
      <c r="A116" s="28" t="s">
        <v>23</v>
      </c>
      <c r="B116" s="28">
        <v>70</v>
      </c>
      <c r="C116" s="28"/>
      <c r="D116" s="29">
        <f t="shared" si="3"/>
        <v>70</v>
      </c>
      <c r="E116" s="28"/>
      <c r="F116" s="28"/>
      <c r="G116" s="29">
        <f>D116-E116-F116</f>
        <v>70</v>
      </c>
      <c r="H116" s="30"/>
      <c r="I116" s="19">
        <f t="shared" si="2"/>
        <v>0</v>
      </c>
    </row>
    <row r="117" spans="1:9" x14ac:dyDescent="0.3">
      <c r="A117" s="28" t="s">
        <v>268</v>
      </c>
      <c r="B117" s="28">
        <v>20</v>
      </c>
      <c r="C117" s="28"/>
      <c r="D117" s="29">
        <f t="shared" si="3"/>
        <v>20</v>
      </c>
      <c r="E117" s="28"/>
      <c r="F117" s="28"/>
      <c r="G117" s="29">
        <f t="shared" si="1"/>
        <v>20</v>
      </c>
      <c r="H117" s="30"/>
      <c r="I117" s="19">
        <f t="shared" si="2"/>
        <v>0</v>
      </c>
    </row>
    <row r="118" spans="1:9" x14ac:dyDescent="0.3">
      <c r="A118" s="28" t="s">
        <v>24</v>
      </c>
      <c r="B118" s="28">
        <v>3500</v>
      </c>
      <c r="C118" s="28"/>
      <c r="D118" s="29">
        <f t="shared" si="3"/>
        <v>3500</v>
      </c>
      <c r="E118" s="28"/>
      <c r="F118" s="28"/>
      <c r="G118" s="29">
        <f t="shared" si="1"/>
        <v>3500</v>
      </c>
      <c r="H118" s="30"/>
      <c r="I118" s="19">
        <f t="shared" si="2"/>
        <v>0</v>
      </c>
    </row>
    <row r="119" spans="1:9" x14ac:dyDescent="0.3">
      <c r="A119" s="28" t="s">
        <v>258</v>
      </c>
      <c r="B119" s="28"/>
      <c r="C119" s="28"/>
      <c r="D119" s="29">
        <f t="shared" si="3"/>
        <v>0</v>
      </c>
      <c r="E119" s="28"/>
      <c r="F119" s="28"/>
      <c r="G119" s="29">
        <f t="shared" si="1"/>
        <v>0</v>
      </c>
      <c r="H119" s="30"/>
      <c r="I119" s="19">
        <f t="shared" si="2"/>
        <v>0</v>
      </c>
    </row>
    <row r="120" spans="1:9" x14ac:dyDescent="0.3">
      <c r="A120" s="28" t="s">
        <v>25</v>
      </c>
      <c r="B120" s="28"/>
      <c r="C120" s="28"/>
      <c r="D120" s="29">
        <f t="shared" si="3"/>
        <v>0</v>
      </c>
      <c r="E120" s="28"/>
      <c r="F120" s="28"/>
      <c r="G120" s="29">
        <f t="shared" si="1"/>
        <v>0</v>
      </c>
      <c r="H120" s="30"/>
      <c r="I120" s="19">
        <f t="shared" si="2"/>
        <v>0</v>
      </c>
    </row>
    <row r="121" spans="1:9" x14ac:dyDescent="0.3">
      <c r="A121" s="28" t="s">
        <v>26</v>
      </c>
      <c r="B121" s="28">
        <v>1</v>
      </c>
      <c r="C121" s="28"/>
      <c r="D121" s="29">
        <f t="shared" si="3"/>
        <v>1</v>
      </c>
      <c r="E121" s="28"/>
      <c r="F121" s="28"/>
      <c r="G121" s="29">
        <f t="shared" si="1"/>
        <v>1</v>
      </c>
      <c r="H121" s="30"/>
      <c r="I121" s="19">
        <f t="shared" si="2"/>
        <v>0</v>
      </c>
    </row>
    <row r="122" spans="1:9" x14ac:dyDescent="0.3">
      <c r="A122" s="28" t="s">
        <v>27</v>
      </c>
      <c r="B122" s="28"/>
      <c r="C122" s="28"/>
      <c r="D122" s="29">
        <f t="shared" si="3"/>
        <v>0</v>
      </c>
      <c r="E122" s="28"/>
      <c r="F122" s="28"/>
      <c r="G122" s="29">
        <f t="shared" si="1"/>
        <v>0</v>
      </c>
      <c r="H122" s="30"/>
      <c r="I122" s="19">
        <f t="shared" si="2"/>
        <v>0</v>
      </c>
    </row>
    <row r="123" spans="1:9" x14ac:dyDescent="0.3">
      <c r="A123" s="28" t="s">
        <v>28</v>
      </c>
      <c r="B123" s="28"/>
      <c r="C123" s="28"/>
      <c r="D123" s="29">
        <f t="shared" si="3"/>
        <v>0</v>
      </c>
      <c r="E123" s="28"/>
      <c r="F123" s="28"/>
      <c r="G123" s="29">
        <f t="shared" si="1"/>
        <v>0</v>
      </c>
      <c r="H123" s="30"/>
      <c r="I123" s="19">
        <f t="shared" si="2"/>
        <v>0</v>
      </c>
    </row>
    <row r="124" spans="1:9" x14ac:dyDescent="0.3">
      <c r="A124" s="28" t="s">
        <v>29</v>
      </c>
      <c r="B124" s="28">
        <v>18</v>
      </c>
      <c r="C124" s="28"/>
      <c r="D124" s="29">
        <f t="shared" si="3"/>
        <v>18</v>
      </c>
      <c r="E124" s="28"/>
      <c r="F124" s="28"/>
      <c r="G124" s="29">
        <f t="shared" si="1"/>
        <v>18</v>
      </c>
      <c r="H124" s="30"/>
      <c r="I124" s="19">
        <f t="shared" si="2"/>
        <v>0</v>
      </c>
    </row>
    <row r="125" spans="1:9" x14ac:dyDescent="0.3">
      <c r="A125" s="28" t="s">
        <v>30</v>
      </c>
      <c r="B125" s="28">
        <v>87</v>
      </c>
      <c r="C125" s="28"/>
      <c r="D125" s="29">
        <f t="shared" si="3"/>
        <v>87</v>
      </c>
      <c r="E125" s="28"/>
      <c r="F125" s="28"/>
      <c r="G125" s="29">
        <f t="shared" ref="G125:G216" si="4">D125-E125-F125</f>
        <v>87</v>
      </c>
      <c r="H125" s="30"/>
      <c r="I125" s="19">
        <f t="shared" si="2"/>
        <v>0</v>
      </c>
    </row>
    <row r="126" spans="1:9" x14ac:dyDescent="0.3">
      <c r="A126" s="28" t="s">
        <v>31</v>
      </c>
      <c r="B126" s="28"/>
      <c r="C126" s="28"/>
      <c r="D126" s="29">
        <f t="shared" si="3"/>
        <v>0</v>
      </c>
      <c r="E126" s="28"/>
      <c r="F126" s="28"/>
      <c r="G126" s="29">
        <f t="shared" si="4"/>
        <v>0</v>
      </c>
      <c r="H126" s="31"/>
      <c r="I126" s="19">
        <f t="shared" si="2"/>
        <v>0</v>
      </c>
    </row>
    <row r="127" spans="1:9" x14ac:dyDescent="0.3">
      <c r="A127" s="28" t="s">
        <v>82</v>
      </c>
      <c r="B127" s="28"/>
      <c r="C127" s="28"/>
      <c r="D127" s="29">
        <f t="shared" si="3"/>
        <v>0</v>
      </c>
      <c r="E127" s="28"/>
      <c r="F127" s="28"/>
      <c r="G127" s="29">
        <f t="shared" si="4"/>
        <v>0</v>
      </c>
      <c r="H127" s="30"/>
      <c r="I127" s="19">
        <f t="shared" ref="I127:I190" si="5">G127*H127</f>
        <v>0</v>
      </c>
    </row>
    <row r="128" spans="1:9" x14ac:dyDescent="0.3">
      <c r="A128" s="28" t="s">
        <v>84</v>
      </c>
      <c r="B128" s="28">
        <v>5</v>
      </c>
      <c r="C128" s="28"/>
      <c r="D128" s="29">
        <f t="shared" si="3"/>
        <v>5</v>
      </c>
      <c r="E128" s="28"/>
      <c r="F128" s="28"/>
      <c r="G128" s="29">
        <f t="shared" si="4"/>
        <v>5</v>
      </c>
      <c r="H128" s="30"/>
      <c r="I128" s="19">
        <f t="shared" si="5"/>
        <v>0</v>
      </c>
    </row>
    <row r="129" spans="1:9" x14ac:dyDescent="0.3">
      <c r="A129" s="28" t="s">
        <v>91</v>
      </c>
      <c r="B129" s="28"/>
      <c r="C129" s="28"/>
      <c r="D129" s="29">
        <f t="shared" si="3"/>
        <v>0</v>
      </c>
      <c r="E129" s="28"/>
      <c r="F129" s="28"/>
      <c r="G129" s="29">
        <f t="shared" si="4"/>
        <v>0</v>
      </c>
      <c r="H129" s="31"/>
      <c r="I129" s="19">
        <f t="shared" si="5"/>
        <v>0</v>
      </c>
    </row>
    <row r="130" spans="1:9" x14ac:dyDescent="0.3">
      <c r="A130" s="28" t="s">
        <v>83</v>
      </c>
      <c r="B130" s="28">
        <v>110</v>
      </c>
      <c r="C130" s="28"/>
      <c r="D130" s="29">
        <f t="shared" si="3"/>
        <v>110</v>
      </c>
      <c r="E130" s="28"/>
      <c r="F130" s="28"/>
      <c r="G130" s="29">
        <f t="shared" si="4"/>
        <v>110</v>
      </c>
      <c r="H130" s="31"/>
      <c r="I130" s="19">
        <f t="shared" si="5"/>
        <v>0</v>
      </c>
    </row>
    <row r="131" spans="1:9" x14ac:dyDescent="0.3">
      <c r="A131" s="28" t="s">
        <v>204</v>
      </c>
      <c r="B131" s="28"/>
      <c r="C131" s="28"/>
      <c r="D131" s="29">
        <f t="shared" si="3"/>
        <v>0</v>
      </c>
      <c r="E131" s="28"/>
      <c r="F131" s="28"/>
      <c r="G131" s="29">
        <f t="shared" si="4"/>
        <v>0</v>
      </c>
      <c r="H131" s="31"/>
      <c r="I131" s="19">
        <f t="shared" si="5"/>
        <v>0</v>
      </c>
    </row>
    <row r="132" spans="1:9" x14ac:dyDescent="0.3">
      <c r="A132" s="28" t="s">
        <v>94</v>
      </c>
      <c r="B132" s="28"/>
      <c r="C132" s="28"/>
      <c r="D132" s="29">
        <f t="shared" si="3"/>
        <v>0</v>
      </c>
      <c r="E132" s="28"/>
      <c r="F132" s="28"/>
      <c r="G132" s="29">
        <f t="shared" si="4"/>
        <v>0</v>
      </c>
      <c r="H132" s="31"/>
      <c r="I132" s="19">
        <f t="shared" si="5"/>
        <v>0</v>
      </c>
    </row>
    <row r="133" spans="1:9" x14ac:dyDescent="0.3">
      <c r="A133" s="28" t="s">
        <v>49</v>
      </c>
      <c r="B133" s="28">
        <v>92</v>
      </c>
      <c r="C133" s="28"/>
      <c r="D133" s="29">
        <f t="shared" si="3"/>
        <v>92</v>
      </c>
      <c r="E133" s="28"/>
      <c r="F133" s="28"/>
      <c r="G133" s="29">
        <f t="shared" si="4"/>
        <v>92</v>
      </c>
      <c r="H133" s="30"/>
      <c r="I133" s="19">
        <f t="shared" si="5"/>
        <v>0</v>
      </c>
    </row>
    <row r="134" spans="1:9" x14ac:dyDescent="0.3">
      <c r="A134" s="28" t="s">
        <v>123</v>
      </c>
      <c r="B134" s="28"/>
      <c r="C134" s="28"/>
      <c r="D134" s="29">
        <f t="shared" si="3"/>
        <v>0</v>
      </c>
      <c r="E134" s="28"/>
      <c r="F134" s="28"/>
      <c r="G134" s="29">
        <f t="shared" si="4"/>
        <v>0</v>
      </c>
      <c r="H134" s="30"/>
      <c r="I134" s="19">
        <f t="shared" si="5"/>
        <v>0</v>
      </c>
    </row>
    <row r="135" spans="1:9" x14ac:dyDescent="0.3">
      <c r="A135" s="28" t="s">
        <v>218</v>
      </c>
      <c r="B135" s="28"/>
      <c r="C135" s="28"/>
      <c r="D135" s="29">
        <f t="shared" si="3"/>
        <v>0</v>
      </c>
      <c r="E135" s="28"/>
      <c r="F135" s="28"/>
      <c r="G135" s="29">
        <f t="shared" si="4"/>
        <v>0</v>
      </c>
      <c r="H135" s="30"/>
      <c r="I135" s="19">
        <f t="shared" si="5"/>
        <v>0</v>
      </c>
    </row>
    <row r="136" spans="1:9" x14ac:dyDescent="0.3">
      <c r="A136" s="28" t="s">
        <v>219</v>
      </c>
      <c r="B136" s="28"/>
      <c r="C136" s="28"/>
      <c r="D136" s="29">
        <f t="shared" si="3"/>
        <v>0</v>
      </c>
      <c r="E136" s="28"/>
      <c r="F136" s="28"/>
      <c r="G136" s="29">
        <f t="shared" si="4"/>
        <v>0</v>
      </c>
      <c r="H136" s="30"/>
      <c r="I136" s="19">
        <f t="shared" si="5"/>
        <v>0</v>
      </c>
    </row>
    <row r="137" spans="1:9" x14ac:dyDescent="0.3">
      <c r="A137" s="28" t="s">
        <v>175</v>
      </c>
      <c r="B137" s="28"/>
      <c r="C137" s="28"/>
      <c r="D137" s="29">
        <f t="shared" si="3"/>
        <v>0</v>
      </c>
      <c r="E137" s="28"/>
      <c r="F137" s="28"/>
      <c r="G137" s="29">
        <f t="shared" si="4"/>
        <v>0</v>
      </c>
      <c r="H137" s="30"/>
      <c r="I137" s="19">
        <f t="shared" si="5"/>
        <v>0</v>
      </c>
    </row>
    <row r="138" spans="1:9" x14ac:dyDescent="0.3">
      <c r="A138" s="28" t="s">
        <v>176</v>
      </c>
      <c r="B138" s="28"/>
      <c r="C138" s="28"/>
      <c r="D138" s="29">
        <f t="shared" si="3"/>
        <v>0</v>
      </c>
      <c r="E138" s="28"/>
      <c r="F138" s="28"/>
      <c r="G138" s="29">
        <f t="shared" si="4"/>
        <v>0</v>
      </c>
      <c r="H138" s="30"/>
      <c r="I138" s="19">
        <f t="shared" si="5"/>
        <v>0</v>
      </c>
    </row>
    <row r="139" spans="1:9" x14ac:dyDescent="0.3">
      <c r="A139" s="28"/>
      <c r="B139" s="28"/>
      <c r="C139" s="28"/>
      <c r="D139" s="29">
        <f t="shared" si="3"/>
        <v>0</v>
      </c>
      <c r="E139" s="28"/>
      <c r="F139" s="28"/>
      <c r="G139" s="29">
        <f t="shared" si="4"/>
        <v>0</v>
      </c>
      <c r="H139" s="30"/>
      <c r="I139" s="19">
        <f t="shared" si="5"/>
        <v>0</v>
      </c>
    </row>
    <row r="140" spans="1:9" x14ac:dyDescent="0.3">
      <c r="A140" s="28" t="s">
        <v>182</v>
      </c>
      <c r="B140" s="28"/>
      <c r="C140" s="28"/>
      <c r="D140" s="29">
        <f t="shared" si="3"/>
        <v>0</v>
      </c>
      <c r="E140" s="28"/>
      <c r="F140" s="28"/>
      <c r="G140" s="29">
        <f t="shared" si="4"/>
        <v>0</v>
      </c>
      <c r="H140" s="30"/>
      <c r="I140" s="19">
        <f t="shared" si="5"/>
        <v>0</v>
      </c>
    </row>
    <row r="141" spans="1:9" x14ac:dyDescent="0.3">
      <c r="A141" s="28" t="s">
        <v>183</v>
      </c>
      <c r="B141" s="28"/>
      <c r="C141" s="28"/>
      <c r="D141" s="29">
        <f t="shared" si="3"/>
        <v>0</v>
      </c>
      <c r="E141" s="28"/>
      <c r="F141" s="28"/>
      <c r="G141" s="29">
        <f t="shared" si="4"/>
        <v>0</v>
      </c>
      <c r="H141" s="30"/>
      <c r="I141" s="19">
        <f t="shared" si="5"/>
        <v>0</v>
      </c>
    </row>
    <row r="142" spans="1:9" x14ac:dyDescent="0.3">
      <c r="A142" s="28" t="s">
        <v>184</v>
      </c>
      <c r="B142" s="28"/>
      <c r="C142" s="28"/>
      <c r="D142" s="29">
        <f t="shared" si="3"/>
        <v>0</v>
      </c>
      <c r="E142" s="28"/>
      <c r="F142" s="28"/>
      <c r="G142" s="29">
        <f t="shared" si="4"/>
        <v>0</v>
      </c>
      <c r="H142" s="30"/>
      <c r="I142" s="19">
        <f t="shared" si="5"/>
        <v>0</v>
      </c>
    </row>
    <row r="143" spans="1:9" x14ac:dyDescent="0.3">
      <c r="A143" s="28" t="s">
        <v>187</v>
      </c>
      <c r="B143" s="28"/>
      <c r="C143" s="28"/>
      <c r="D143" s="29">
        <f t="shared" si="3"/>
        <v>0</v>
      </c>
      <c r="E143" s="28"/>
      <c r="F143" s="28"/>
      <c r="G143" s="29">
        <f t="shared" si="4"/>
        <v>0</v>
      </c>
      <c r="H143" s="30"/>
      <c r="I143" s="19">
        <f t="shared" si="5"/>
        <v>0</v>
      </c>
    </row>
    <row r="144" spans="1:9" x14ac:dyDescent="0.3">
      <c r="A144" s="28" t="s">
        <v>366</v>
      </c>
      <c r="B144" s="28"/>
      <c r="C144" s="28"/>
      <c r="D144" s="29">
        <f t="shared" si="3"/>
        <v>0</v>
      </c>
      <c r="E144" s="28"/>
      <c r="F144" s="28"/>
      <c r="G144" s="29">
        <f t="shared" si="4"/>
        <v>0</v>
      </c>
      <c r="H144" s="30"/>
      <c r="I144" s="19">
        <f t="shared" si="5"/>
        <v>0</v>
      </c>
    </row>
    <row r="145" spans="1:9" x14ac:dyDescent="0.3">
      <c r="A145" s="28" t="s">
        <v>240</v>
      </c>
      <c r="B145" s="28">
        <v>20</v>
      </c>
      <c r="C145" s="28"/>
      <c r="D145" s="29">
        <f t="shared" si="3"/>
        <v>20</v>
      </c>
      <c r="E145" s="28"/>
      <c r="F145" s="28"/>
      <c r="G145" s="29">
        <f t="shared" si="4"/>
        <v>20</v>
      </c>
      <c r="H145" s="30"/>
      <c r="I145" s="19">
        <f t="shared" si="5"/>
        <v>0</v>
      </c>
    </row>
    <row r="146" spans="1:9" x14ac:dyDescent="0.3">
      <c r="A146" s="28" t="s">
        <v>198</v>
      </c>
      <c r="B146" s="28"/>
      <c r="C146" s="28"/>
      <c r="D146" s="29">
        <f t="shared" si="3"/>
        <v>0</v>
      </c>
      <c r="E146" s="28"/>
      <c r="F146" s="28"/>
      <c r="G146" s="29">
        <f t="shared" si="4"/>
        <v>0</v>
      </c>
      <c r="H146" s="30"/>
      <c r="I146" s="19">
        <f t="shared" si="5"/>
        <v>0</v>
      </c>
    </row>
    <row r="147" spans="1:9" x14ac:dyDescent="0.3">
      <c r="A147" s="28" t="s">
        <v>77</v>
      </c>
      <c r="B147" s="28">
        <v>500</v>
      </c>
      <c r="C147" s="28"/>
      <c r="D147" s="29">
        <f t="shared" si="3"/>
        <v>500</v>
      </c>
      <c r="E147" s="28"/>
      <c r="F147" s="28"/>
      <c r="G147" s="29">
        <f t="shared" si="4"/>
        <v>500</v>
      </c>
      <c r="H147" s="30"/>
      <c r="I147" s="19">
        <f t="shared" si="5"/>
        <v>0</v>
      </c>
    </row>
    <row r="148" spans="1:9" x14ac:dyDescent="0.3">
      <c r="A148" s="28" t="s">
        <v>361</v>
      </c>
      <c r="B148" s="28"/>
      <c r="C148" s="28"/>
      <c r="D148" s="29">
        <f t="shared" si="3"/>
        <v>0</v>
      </c>
      <c r="E148" s="28"/>
      <c r="F148" s="28"/>
      <c r="G148" s="29">
        <f t="shared" si="4"/>
        <v>0</v>
      </c>
      <c r="H148" s="30"/>
      <c r="I148" s="19">
        <f t="shared" si="5"/>
        <v>0</v>
      </c>
    </row>
    <row r="149" spans="1:9" x14ac:dyDescent="0.3">
      <c r="A149" s="28" t="s">
        <v>259</v>
      </c>
      <c r="B149" s="28"/>
      <c r="C149" s="28"/>
      <c r="D149" s="29">
        <f t="shared" si="3"/>
        <v>0</v>
      </c>
      <c r="E149" s="28"/>
      <c r="F149" s="28"/>
      <c r="G149" s="29">
        <f t="shared" si="4"/>
        <v>0</v>
      </c>
      <c r="H149" s="30"/>
      <c r="I149" s="19">
        <f t="shared" si="5"/>
        <v>0</v>
      </c>
    </row>
    <row r="150" spans="1:9" x14ac:dyDescent="0.3">
      <c r="A150" s="28" t="s">
        <v>286</v>
      </c>
      <c r="B150" s="28"/>
      <c r="C150" s="28"/>
      <c r="D150" s="29">
        <f t="shared" si="3"/>
        <v>0</v>
      </c>
      <c r="E150" s="28"/>
      <c r="F150" s="28"/>
      <c r="G150" s="29">
        <f t="shared" si="4"/>
        <v>0</v>
      </c>
      <c r="H150" s="30"/>
      <c r="I150" s="19">
        <f t="shared" si="5"/>
        <v>0</v>
      </c>
    </row>
    <row r="151" spans="1:9" x14ac:dyDescent="0.3">
      <c r="A151" s="28" t="s">
        <v>327</v>
      </c>
      <c r="B151" s="28"/>
      <c r="C151" s="28"/>
      <c r="D151" s="29">
        <f t="shared" si="3"/>
        <v>0</v>
      </c>
      <c r="E151" s="28"/>
      <c r="F151" s="28"/>
      <c r="G151" s="29">
        <f t="shared" si="4"/>
        <v>0</v>
      </c>
      <c r="H151" s="30"/>
      <c r="I151" s="19">
        <f t="shared" si="5"/>
        <v>0</v>
      </c>
    </row>
    <row r="152" spans="1:9" x14ac:dyDescent="0.3">
      <c r="A152" s="28" t="s">
        <v>367</v>
      </c>
      <c r="B152" s="28"/>
      <c r="C152" s="28"/>
      <c r="D152" s="29">
        <f t="shared" si="3"/>
        <v>0</v>
      </c>
      <c r="E152" s="28"/>
      <c r="F152" s="28"/>
      <c r="G152" s="29">
        <f t="shared" si="4"/>
        <v>0</v>
      </c>
      <c r="H152" s="30"/>
      <c r="I152" s="19">
        <f t="shared" si="5"/>
        <v>0</v>
      </c>
    </row>
    <row r="153" spans="1:9" x14ac:dyDescent="0.3">
      <c r="A153" s="28"/>
      <c r="B153" s="28"/>
      <c r="C153" s="28"/>
      <c r="D153" s="29"/>
      <c r="E153" s="28"/>
      <c r="F153" s="28"/>
      <c r="G153" s="29">
        <f t="shared" si="4"/>
        <v>0</v>
      </c>
      <c r="H153" s="30"/>
      <c r="I153" s="19">
        <f t="shared" si="5"/>
        <v>0</v>
      </c>
    </row>
    <row r="154" spans="1:9" x14ac:dyDescent="0.3">
      <c r="A154" s="28"/>
      <c r="B154" s="28"/>
      <c r="C154" s="28"/>
      <c r="D154" s="29"/>
      <c r="E154" s="28"/>
      <c r="F154" s="28"/>
      <c r="G154" s="29"/>
      <c r="H154" s="30"/>
      <c r="I154" s="19">
        <f t="shared" si="5"/>
        <v>0</v>
      </c>
    </row>
    <row r="155" spans="1:9" x14ac:dyDescent="0.3">
      <c r="A155" s="24" t="s">
        <v>32</v>
      </c>
      <c r="B155" s="28"/>
      <c r="C155" s="28"/>
      <c r="D155" s="29">
        <f t="shared" si="3"/>
        <v>0</v>
      </c>
      <c r="E155" s="28"/>
      <c r="F155" s="28"/>
      <c r="G155" s="29">
        <f t="shared" si="4"/>
        <v>0</v>
      </c>
      <c r="H155" s="30"/>
      <c r="I155" s="19">
        <f t="shared" si="5"/>
        <v>0</v>
      </c>
    </row>
    <row r="156" spans="1:9" x14ac:dyDescent="0.3">
      <c r="A156" s="28" t="s">
        <v>33</v>
      </c>
      <c r="B156" s="28">
        <v>15</v>
      </c>
      <c r="C156" s="28"/>
      <c r="D156" s="29">
        <f t="shared" si="3"/>
        <v>15</v>
      </c>
      <c r="E156" s="28"/>
      <c r="F156" s="28"/>
      <c r="G156" s="29">
        <f t="shared" si="4"/>
        <v>15</v>
      </c>
      <c r="H156" s="30"/>
      <c r="I156" s="19">
        <f t="shared" si="5"/>
        <v>0</v>
      </c>
    </row>
    <row r="157" spans="1:9" x14ac:dyDescent="0.3">
      <c r="A157" s="28" t="s">
        <v>34</v>
      </c>
      <c r="B157" s="28">
        <v>5</v>
      </c>
      <c r="C157" s="28"/>
      <c r="D157" s="29">
        <f t="shared" si="3"/>
        <v>5</v>
      </c>
      <c r="E157" s="28"/>
      <c r="F157" s="28"/>
      <c r="G157" s="29">
        <f t="shared" si="4"/>
        <v>5</v>
      </c>
      <c r="H157" s="30"/>
      <c r="I157" s="19">
        <f t="shared" si="5"/>
        <v>0</v>
      </c>
    </row>
    <row r="158" spans="1:9" x14ac:dyDescent="0.3">
      <c r="A158" s="28" t="s">
        <v>122</v>
      </c>
      <c r="B158" s="28"/>
      <c r="C158" s="28"/>
      <c r="D158" s="29">
        <f t="shared" si="3"/>
        <v>0</v>
      </c>
      <c r="E158" s="28"/>
      <c r="F158" s="28"/>
      <c r="G158" s="29">
        <f t="shared" si="4"/>
        <v>0</v>
      </c>
      <c r="H158" s="30"/>
      <c r="I158" s="19">
        <f t="shared" si="5"/>
        <v>0</v>
      </c>
    </row>
    <row r="159" spans="1:9" x14ac:dyDescent="0.3">
      <c r="A159" s="28" t="s">
        <v>143</v>
      </c>
      <c r="B159" s="28"/>
      <c r="C159" s="28"/>
      <c r="D159" s="29">
        <f t="shared" si="3"/>
        <v>0</v>
      </c>
      <c r="E159" s="28"/>
      <c r="F159" s="28"/>
      <c r="G159" s="29">
        <f t="shared" si="4"/>
        <v>0</v>
      </c>
      <c r="H159" s="30"/>
      <c r="I159" s="19">
        <f t="shared" si="5"/>
        <v>0</v>
      </c>
    </row>
    <row r="160" spans="1:9" x14ac:dyDescent="0.3">
      <c r="A160" s="28" t="s">
        <v>151</v>
      </c>
      <c r="B160" s="28"/>
      <c r="C160" s="28"/>
      <c r="D160" s="29">
        <f t="shared" si="3"/>
        <v>0</v>
      </c>
      <c r="E160" s="28"/>
      <c r="F160" s="28"/>
      <c r="G160" s="29">
        <f t="shared" si="4"/>
        <v>0</v>
      </c>
      <c r="H160" s="30"/>
      <c r="I160" s="19">
        <f t="shared" si="5"/>
        <v>0</v>
      </c>
    </row>
    <row r="161" spans="1:9" x14ac:dyDescent="0.3">
      <c r="A161" s="28" t="s">
        <v>186</v>
      </c>
      <c r="B161" s="28"/>
      <c r="C161" s="28"/>
      <c r="D161" s="29">
        <f t="shared" si="3"/>
        <v>0</v>
      </c>
      <c r="E161" s="28"/>
      <c r="F161" s="28"/>
      <c r="G161" s="29">
        <f t="shared" si="4"/>
        <v>0</v>
      </c>
      <c r="H161" s="30"/>
      <c r="I161" s="19">
        <f t="shared" si="5"/>
        <v>0</v>
      </c>
    </row>
    <row r="162" spans="1:9" x14ac:dyDescent="0.3">
      <c r="A162" s="28" t="s">
        <v>207</v>
      </c>
      <c r="B162" s="28"/>
      <c r="C162" s="28"/>
      <c r="D162" s="29">
        <f t="shared" si="3"/>
        <v>0</v>
      </c>
      <c r="E162" s="28"/>
      <c r="F162" s="28"/>
      <c r="G162" s="29">
        <f t="shared" si="4"/>
        <v>0</v>
      </c>
      <c r="H162" s="30"/>
      <c r="I162" s="19">
        <f t="shared" si="5"/>
        <v>0</v>
      </c>
    </row>
    <row r="163" spans="1:9" x14ac:dyDescent="0.3">
      <c r="A163" s="28" t="s">
        <v>44</v>
      </c>
      <c r="B163" s="28"/>
      <c r="C163" s="28"/>
      <c r="D163" s="29">
        <f t="shared" si="3"/>
        <v>0</v>
      </c>
      <c r="E163" s="28"/>
      <c r="F163" s="28"/>
      <c r="G163" s="29">
        <f t="shared" si="4"/>
        <v>0</v>
      </c>
      <c r="H163" s="30"/>
      <c r="I163" s="19">
        <f t="shared" si="5"/>
        <v>0</v>
      </c>
    </row>
    <row r="164" spans="1:9" x14ac:dyDescent="0.3">
      <c r="A164" s="28" t="s">
        <v>264</v>
      </c>
      <c r="B164" s="28">
        <v>50</v>
      </c>
      <c r="C164" s="28"/>
      <c r="D164" s="29">
        <f t="shared" si="3"/>
        <v>50</v>
      </c>
      <c r="E164" s="28"/>
      <c r="F164" s="28"/>
      <c r="G164" s="29">
        <f t="shared" si="4"/>
        <v>50</v>
      </c>
      <c r="H164" s="30"/>
      <c r="I164" s="19">
        <f t="shared" si="5"/>
        <v>0</v>
      </c>
    </row>
    <row r="165" spans="1:9" x14ac:dyDescent="0.3">
      <c r="A165" s="28" t="s">
        <v>346</v>
      </c>
      <c r="B165" s="28">
        <v>5</v>
      </c>
      <c r="C165" s="28"/>
      <c r="D165" s="29">
        <f t="shared" si="3"/>
        <v>5</v>
      </c>
      <c r="E165" s="28"/>
      <c r="F165" s="28"/>
      <c r="G165" s="29">
        <f t="shared" si="4"/>
        <v>5</v>
      </c>
      <c r="H165" s="30"/>
      <c r="I165" s="19">
        <f t="shared" si="5"/>
        <v>0</v>
      </c>
    </row>
    <row r="166" spans="1:9" x14ac:dyDescent="0.3">
      <c r="A166" s="28"/>
      <c r="B166" s="28"/>
      <c r="C166" s="28"/>
      <c r="D166" s="29"/>
      <c r="E166" s="28"/>
      <c r="F166" s="28"/>
      <c r="G166" s="29"/>
      <c r="H166" s="30"/>
      <c r="I166" s="19"/>
    </row>
    <row r="167" spans="1:9" x14ac:dyDescent="0.3">
      <c r="A167" s="24" t="s">
        <v>35</v>
      </c>
      <c r="B167" s="28"/>
      <c r="C167" s="28"/>
      <c r="D167" s="29">
        <f t="shared" ref="D167:D235" si="6">B167+C167</f>
        <v>0</v>
      </c>
      <c r="E167" s="28"/>
      <c r="F167" s="28"/>
      <c r="G167" s="29">
        <f t="shared" si="4"/>
        <v>0</v>
      </c>
      <c r="H167" s="30"/>
      <c r="I167" s="19">
        <f t="shared" si="5"/>
        <v>0</v>
      </c>
    </row>
    <row r="168" spans="1:9" x14ac:dyDescent="0.3">
      <c r="A168" s="28" t="s">
        <v>220</v>
      </c>
      <c r="B168" s="28">
        <v>30</v>
      </c>
      <c r="C168" s="28"/>
      <c r="D168" s="29">
        <f t="shared" si="6"/>
        <v>30</v>
      </c>
      <c r="E168" s="28"/>
      <c r="F168" s="28"/>
      <c r="G168" s="29">
        <f t="shared" si="4"/>
        <v>30</v>
      </c>
      <c r="H168" s="30"/>
      <c r="I168" s="19">
        <f t="shared" si="5"/>
        <v>0</v>
      </c>
    </row>
    <row r="169" spans="1:9" x14ac:dyDescent="0.3">
      <c r="A169" s="28" t="s">
        <v>81</v>
      </c>
      <c r="B169" s="28"/>
      <c r="C169" s="28"/>
      <c r="D169" s="29">
        <f t="shared" si="6"/>
        <v>0</v>
      </c>
      <c r="E169" s="28"/>
      <c r="F169" s="28"/>
      <c r="G169" s="29">
        <f t="shared" si="4"/>
        <v>0</v>
      </c>
      <c r="H169" s="30"/>
      <c r="I169" s="19">
        <f t="shared" si="5"/>
        <v>0</v>
      </c>
    </row>
    <row r="170" spans="1:9" x14ac:dyDescent="0.3">
      <c r="A170" s="28" t="s">
        <v>36</v>
      </c>
      <c r="B170" s="28"/>
      <c r="C170" s="28"/>
      <c r="D170" s="29">
        <f t="shared" si="6"/>
        <v>0</v>
      </c>
      <c r="E170" s="28"/>
      <c r="F170" s="28"/>
      <c r="G170" s="29">
        <f t="shared" si="4"/>
        <v>0</v>
      </c>
      <c r="H170" s="30"/>
      <c r="I170" s="19">
        <f t="shared" si="5"/>
        <v>0</v>
      </c>
    </row>
    <row r="171" spans="1:9" x14ac:dyDescent="0.3">
      <c r="A171" s="28" t="s">
        <v>37</v>
      </c>
      <c r="B171" s="28"/>
      <c r="C171" s="28"/>
      <c r="D171" s="29">
        <f t="shared" si="6"/>
        <v>0</v>
      </c>
      <c r="E171" s="28"/>
      <c r="F171" s="28"/>
      <c r="G171" s="29">
        <f t="shared" si="4"/>
        <v>0</v>
      </c>
      <c r="H171" s="30"/>
      <c r="I171" s="19">
        <f t="shared" si="5"/>
        <v>0</v>
      </c>
    </row>
    <row r="172" spans="1:9" x14ac:dyDescent="0.3">
      <c r="A172" s="28" t="s">
        <v>357</v>
      </c>
      <c r="B172" s="28">
        <v>5</v>
      </c>
      <c r="C172" s="28"/>
      <c r="D172" s="29">
        <f t="shared" si="6"/>
        <v>5</v>
      </c>
      <c r="E172" s="28"/>
      <c r="F172" s="28"/>
      <c r="G172" s="29">
        <f t="shared" si="4"/>
        <v>5</v>
      </c>
      <c r="H172" s="31"/>
      <c r="I172" s="19">
        <f t="shared" si="5"/>
        <v>0</v>
      </c>
    </row>
    <row r="173" spans="1:9" x14ac:dyDescent="0.3">
      <c r="A173" s="28"/>
      <c r="B173" s="28"/>
      <c r="C173" s="28"/>
      <c r="D173" s="29">
        <f t="shared" si="6"/>
        <v>0</v>
      </c>
      <c r="E173" s="28"/>
      <c r="F173" s="28"/>
      <c r="G173" s="29">
        <f t="shared" si="4"/>
        <v>0</v>
      </c>
      <c r="H173" s="30"/>
      <c r="I173" s="19">
        <f t="shared" si="5"/>
        <v>0</v>
      </c>
    </row>
    <row r="174" spans="1:9" x14ac:dyDescent="0.3">
      <c r="A174" s="28"/>
      <c r="B174" s="28"/>
      <c r="C174" s="28"/>
      <c r="D174" s="29">
        <f t="shared" si="6"/>
        <v>0</v>
      </c>
      <c r="E174" s="28"/>
      <c r="F174" s="28"/>
      <c r="G174" s="29">
        <f t="shared" si="4"/>
        <v>0</v>
      </c>
      <c r="H174" s="30"/>
      <c r="I174" s="19"/>
    </row>
    <row r="175" spans="1:9" x14ac:dyDescent="0.3">
      <c r="A175" s="24" t="s">
        <v>320</v>
      </c>
      <c r="B175" s="28"/>
      <c r="C175" s="28"/>
      <c r="D175" s="29">
        <f t="shared" si="6"/>
        <v>0</v>
      </c>
      <c r="E175" s="28"/>
      <c r="F175" s="28"/>
      <c r="G175" s="29">
        <f t="shared" si="4"/>
        <v>0</v>
      </c>
      <c r="H175" s="30"/>
      <c r="I175" s="19"/>
    </row>
    <row r="176" spans="1:9" x14ac:dyDescent="0.3">
      <c r="A176" s="28" t="s">
        <v>51</v>
      </c>
      <c r="B176" s="28"/>
      <c r="C176" s="28"/>
      <c r="D176" s="29">
        <f t="shared" si="6"/>
        <v>0</v>
      </c>
      <c r="E176" s="28"/>
      <c r="F176" s="28"/>
      <c r="G176" s="29">
        <f t="shared" si="4"/>
        <v>0</v>
      </c>
      <c r="H176" s="30"/>
      <c r="I176" s="19">
        <f t="shared" si="5"/>
        <v>0</v>
      </c>
    </row>
    <row r="177" spans="1:9" x14ac:dyDescent="0.3">
      <c r="A177" s="28"/>
      <c r="B177" s="28"/>
      <c r="C177" s="28"/>
      <c r="D177" s="29">
        <f t="shared" si="6"/>
        <v>0</v>
      </c>
      <c r="E177" s="28"/>
      <c r="F177" s="28"/>
      <c r="G177" s="29">
        <f t="shared" si="4"/>
        <v>0</v>
      </c>
      <c r="H177" s="30"/>
      <c r="I177" s="19">
        <f t="shared" si="5"/>
        <v>0</v>
      </c>
    </row>
    <row r="178" spans="1:9" x14ac:dyDescent="0.3">
      <c r="A178" s="24" t="s">
        <v>70</v>
      </c>
      <c r="B178" s="28"/>
      <c r="C178" s="28"/>
      <c r="D178" s="29">
        <f t="shared" si="6"/>
        <v>0</v>
      </c>
      <c r="E178" s="28"/>
      <c r="F178" s="28"/>
      <c r="G178" s="29">
        <f t="shared" si="4"/>
        <v>0</v>
      </c>
      <c r="H178" s="30"/>
      <c r="I178" s="19">
        <f t="shared" si="5"/>
        <v>0</v>
      </c>
    </row>
    <row r="179" spans="1:9" x14ac:dyDescent="0.3">
      <c r="A179" s="28" t="s">
        <v>248</v>
      </c>
      <c r="B179" s="28">
        <v>10</v>
      </c>
      <c r="C179" s="28"/>
      <c r="D179" s="29">
        <f t="shared" si="6"/>
        <v>10</v>
      </c>
      <c r="E179" s="28"/>
      <c r="F179" s="28"/>
      <c r="G179" s="29">
        <f t="shared" si="4"/>
        <v>10</v>
      </c>
      <c r="H179" s="30"/>
      <c r="I179" s="19">
        <f t="shared" si="5"/>
        <v>0</v>
      </c>
    </row>
    <row r="180" spans="1:9" x14ac:dyDescent="0.3">
      <c r="A180" s="28" t="s">
        <v>249</v>
      </c>
      <c r="B180" s="28">
        <v>9</v>
      </c>
      <c r="C180" s="28"/>
      <c r="D180" s="29">
        <f t="shared" si="6"/>
        <v>9</v>
      </c>
      <c r="E180" s="28"/>
      <c r="F180" s="28"/>
      <c r="G180" s="29">
        <f t="shared" si="4"/>
        <v>9</v>
      </c>
      <c r="H180" s="30"/>
      <c r="I180" s="19">
        <f t="shared" si="5"/>
        <v>0</v>
      </c>
    </row>
    <row r="181" spans="1:9" x14ac:dyDescent="0.3">
      <c r="A181" s="28" t="s">
        <v>38</v>
      </c>
      <c r="B181" s="28">
        <v>11</v>
      </c>
      <c r="C181" s="28"/>
      <c r="D181" s="29">
        <f t="shared" si="6"/>
        <v>11</v>
      </c>
      <c r="E181" s="28"/>
      <c r="F181" s="28"/>
      <c r="G181" s="29">
        <f t="shared" si="4"/>
        <v>11</v>
      </c>
      <c r="H181" s="30"/>
      <c r="I181" s="19">
        <f t="shared" si="5"/>
        <v>0</v>
      </c>
    </row>
    <row r="182" spans="1:9" x14ac:dyDescent="0.3">
      <c r="A182" s="28" t="s">
        <v>39</v>
      </c>
      <c r="B182" s="28">
        <v>50</v>
      </c>
      <c r="C182" s="28"/>
      <c r="D182" s="29">
        <f t="shared" si="6"/>
        <v>50</v>
      </c>
      <c r="E182" s="28"/>
      <c r="F182" s="28"/>
      <c r="G182" s="29">
        <f t="shared" si="4"/>
        <v>50</v>
      </c>
      <c r="H182" s="30"/>
      <c r="I182" s="19">
        <f t="shared" si="5"/>
        <v>0</v>
      </c>
    </row>
    <row r="183" spans="1:9" x14ac:dyDescent="0.3">
      <c r="A183" s="28" t="s">
        <v>40</v>
      </c>
      <c r="B183" s="28"/>
      <c r="C183" s="28"/>
      <c r="D183" s="29">
        <f t="shared" si="6"/>
        <v>0</v>
      </c>
      <c r="E183" s="28"/>
      <c r="F183" s="28"/>
      <c r="G183" s="29">
        <f t="shared" si="4"/>
        <v>0</v>
      </c>
      <c r="H183" s="30"/>
      <c r="I183" s="19">
        <f t="shared" si="5"/>
        <v>0</v>
      </c>
    </row>
    <row r="184" spans="1:9" x14ac:dyDescent="0.3">
      <c r="A184" s="28" t="s">
        <v>41</v>
      </c>
      <c r="B184" s="28"/>
      <c r="C184" s="28"/>
      <c r="D184" s="29">
        <f t="shared" si="6"/>
        <v>0</v>
      </c>
      <c r="E184" s="28"/>
      <c r="F184" s="28"/>
      <c r="G184" s="29">
        <f t="shared" si="4"/>
        <v>0</v>
      </c>
      <c r="H184" s="30"/>
      <c r="I184" s="19">
        <f t="shared" si="5"/>
        <v>0</v>
      </c>
    </row>
    <row r="185" spans="1:9" x14ac:dyDescent="0.3">
      <c r="A185" s="28" t="s">
        <v>118</v>
      </c>
      <c r="B185" s="28"/>
      <c r="C185" s="28"/>
      <c r="D185" s="29">
        <f t="shared" si="6"/>
        <v>0</v>
      </c>
      <c r="E185" s="28"/>
      <c r="F185" s="28"/>
      <c r="G185" s="29">
        <f t="shared" si="4"/>
        <v>0</v>
      </c>
      <c r="H185" s="30"/>
      <c r="I185" s="19">
        <f t="shared" si="5"/>
        <v>0</v>
      </c>
    </row>
    <row r="186" spans="1:9" x14ac:dyDescent="0.3">
      <c r="A186" s="28" t="s">
        <v>137</v>
      </c>
      <c r="B186" s="28">
        <v>54</v>
      </c>
      <c r="C186" s="28"/>
      <c r="D186" s="29">
        <f t="shared" si="6"/>
        <v>54</v>
      </c>
      <c r="E186" s="28"/>
      <c r="F186" s="28"/>
      <c r="G186" s="29">
        <f t="shared" si="4"/>
        <v>54</v>
      </c>
      <c r="H186" s="30"/>
      <c r="I186" s="19">
        <f t="shared" si="5"/>
        <v>0</v>
      </c>
    </row>
    <row r="187" spans="1:9" x14ac:dyDescent="0.3">
      <c r="A187" s="28" t="s">
        <v>201</v>
      </c>
      <c r="B187" s="28">
        <v>47</v>
      </c>
      <c r="C187" s="28"/>
      <c r="D187" s="29">
        <f t="shared" si="6"/>
        <v>47</v>
      </c>
      <c r="E187" s="28"/>
      <c r="F187" s="28"/>
      <c r="G187" s="29">
        <f t="shared" si="4"/>
        <v>47</v>
      </c>
      <c r="H187" s="30"/>
      <c r="I187" s="19">
        <f t="shared" si="5"/>
        <v>0</v>
      </c>
    </row>
    <row r="188" spans="1:9" x14ac:dyDescent="0.3">
      <c r="A188" s="28" t="s">
        <v>142</v>
      </c>
      <c r="B188" s="28">
        <v>28</v>
      </c>
      <c r="C188" s="28"/>
      <c r="D188" s="29">
        <f t="shared" si="6"/>
        <v>28</v>
      </c>
      <c r="E188" s="28"/>
      <c r="F188" s="28"/>
      <c r="G188" s="29">
        <f t="shared" si="4"/>
        <v>28</v>
      </c>
      <c r="H188" s="30"/>
      <c r="I188" s="19">
        <f t="shared" si="5"/>
        <v>0</v>
      </c>
    </row>
    <row r="189" spans="1:9" x14ac:dyDescent="0.3">
      <c r="A189" s="28" t="s">
        <v>75</v>
      </c>
      <c r="B189" s="28"/>
      <c r="C189" s="28"/>
      <c r="D189" s="29">
        <f t="shared" si="6"/>
        <v>0</v>
      </c>
      <c r="E189" s="28"/>
      <c r="F189" s="28"/>
      <c r="G189" s="29">
        <f t="shared" si="4"/>
        <v>0</v>
      </c>
      <c r="H189" s="30"/>
      <c r="I189" s="19">
        <f t="shared" si="5"/>
        <v>0</v>
      </c>
    </row>
    <row r="190" spans="1:9" x14ac:dyDescent="0.3">
      <c r="A190" s="28" t="s">
        <v>185</v>
      </c>
      <c r="B190" s="28">
        <v>200</v>
      </c>
      <c r="C190" s="28"/>
      <c r="D190" s="29">
        <f t="shared" si="6"/>
        <v>200</v>
      </c>
      <c r="E190" s="28"/>
      <c r="F190" s="28"/>
      <c r="G190" s="29">
        <f t="shared" si="4"/>
        <v>200</v>
      </c>
      <c r="H190" s="30"/>
      <c r="I190" s="19">
        <f t="shared" si="5"/>
        <v>0</v>
      </c>
    </row>
    <row r="191" spans="1:9" x14ac:dyDescent="0.3">
      <c r="A191" s="28"/>
      <c r="B191" s="28"/>
      <c r="C191" s="28"/>
      <c r="D191" s="29">
        <f t="shared" si="6"/>
        <v>0</v>
      </c>
      <c r="E191" s="28"/>
      <c r="F191" s="28"/>
      <c r="G191" s="29">
        <f t="shared" si="4"/>
        <v>0</v>
      </c>
      <c r="H191" s="30"/>
      <c r="I191" s="19">
        <f t="shared" ref="I191:I284" si="7">G191*H191</f>
        <v>0</v>
      </c>
    </row>
    <row r="192" spans="1:9" x14ac:dyDescent="0.3">
      <c r="A192" s="28" t="s">
        <v>153</v>
      </c>
      <c r="B192" s="28">
        <v>1000</v>
      </c>
      <c r="C192" s="28"/>
      <c r="D192" s="29">
        <f t="shared" si="6"/>
        <v>1000</v>
      </c>
      <c r="E192" s="28"/>
      <c r="F192" s="28"/>
      <c r="G192" s="29">
        <f t="shared" si="4"/>
        <v>1000</v>
      </c>
      <c r="H192" s="30"/>
      <c r="I192" s="19">
        <f t="shared" si="7"/>
        <v>0</v>
      </c>
    </row>
    <row r="193" spans="1:9" x14ac:dyDescent="0.3">
      <c r="A193" s="28" t="s">
        <v>221</v>
      </c>
      <c r="B193" s="28"/>
      <c r="C193" s="28"/>
      <c r="D193" s="29">
        <f t="shared" si="6"/>
        <v>0</v>
      </c>
      <c r="E193" s="28"/>
      <c r="F193" s="28"/>
      <c r="G193" s="29">
        <f t="shared" si="4"/>
        <v>0</v>
      </c>
      <c r="H193" s="30"/>
      <c r="I193" s="19">
        <f t="shared" si="7"/>
        <v>0</v>
      </c>
    </row>
    <row r="194" spans="1:9" x14ac:dyDescent="0.3">
      <c r="A194" s="28" t="s">
        <v>242</v>
      </c>
      <c r="B194" s="28"/>
      <c r="C194" s="28"/>
      <c r="D194" s="29">
        <f t="shared" si="6"/>
        <v>0</v>
      </c>
      <c r="E194" s="28"/>
      <c r="F194" s="28"/>
      <c r="G194" s="29">
        <f t="shared" si="4"/>
        <v>0</v>
      </c>
      <c r="H194" s="30"/>
      <c r="I194" s="19">
        <f t="shared" si="7"/>
        <v>0</v>
      </c>
    </row>
    <row r="195" spans="1:9" x14ac:dyDescent="0.3">
      <c r="A195" s="28" t="s">
        <v>315</v>
      </c>
      <c r="B195" s="28"/>
      <c r="C195" s="28"/>
      <c r="D195" s="29">
        <f t="shared" si="6"/>
        <v>0</v>
      </c>
      <c r="E195" s="28"/>
      <c r="F195" s="28"/>
      <c r="G195" s="29">
        <f t="shared" si="4"/>
        <v>0</v>
      </c>
      <c r="H195" s="30"/>
      <c r="I195" s="19">
        <f t="shared" si="7"/>
        <v>0</v>
      </c>
    </row>
    <row r="196" spans="1:9" x14ac:dyDescent="0.3">
      <c r="A196" s="28" t="s">
        <v>278</v>
      </c>
      <c r="B196" s="28">
        <v>12</v>
      </c>
      <c r="C196" s="28"/>
      <c r="D196" s="29">
        <f t="shared" si="6"/>
        <v>12</v>
      </c>
      <c r="E196" s="28"/>
      <c r="F196" s="28"/>
      <c r="G196" s="29">
        <f t="shared" si="4"/>
        <v>12</v>
      </c>
      <c r="H196" s="30"/>
      <c r="I196" s="19">
        <f t="shared" si="7"/>
        <v>0</v>
      </c>
    </row>
    <row r="197" spans="1:9" x14ac:dyDescent="0.3">
      <c r="A197" s="28" t="s">
        <v>302</v>
      </c>
      <c r="B197" s="28"/>
      <c r="C197" s="28"/>
      <c r="D197" s="29">
        <f t="shared" si="6"/>
        <v>0</v>
      </c>
      <c r="E197" s="28"/>
      <c r="F197" s="28"/>
      <c r="G197" s="29">
        <f t="shared" si="4"/>
        <v>0</v>
      </c>
      <c r="H197" s="30"/>
      <c r="I197" s="19">
        <f t="shared" si="7"/>
        <v>0</v>
      </c>
    </row>
    <row r="198" spans="1:9" x14ac:dyDescent="0.3">
      <c r="A198" s="28" t="s">
        <v>328</v>
      </c>
      <c r="B198" s="28"/>
      <c r="C198" s="28"/>
      <c r="D198" s="29">
        <f t="shared" si="6"/>
        <v>0</v>
      </c>
      <c r="E198" s="28"/>
      <c r="F198" s="28"/>
      <c r="G198" s="29">
        <f t="shared" si="4"/>
        <v>0</v>
      </c>
      <c r="H198" s="30"/>
      <c r="I198" s="19">
        <f t="shared" si="7"/>
        <v>0</v>
      </c>
    </row>
    <row r="199" spans="1:9" x14ac:dyDescent="0.3">
      <c r="A199" s="28" t="s">
        <v>329</v>
      </c>
      <c r="B199" s="28"/>
      <c r="C199" s="28"/>
      <c r="D199" s="29">
        <f t="shared" si="6"/>
        <v>0</v>
      </c>
      <c r="E199" s="28"/>
      <c r="F199" s="28"/>
      <c r="G199" s="29">
        <f t="shared" si="4"/>
        <v>0</v>
      </c>
      <c r="H199" s="30"/>
      <c r="I199" s="19">
        <f t="shared" si="7"/>
        <v>0</v>
      </c>
    </row>
    <row r="200" spans="1:9" x14ac:dyDescent="0.3">
      <c r="A200" s="28" t="s">
        <v>368</v>
      </c>
      <c r="B200" s="28">
        <v>8</v>
      </c>
      <c r="C200" s="28"/>
      <c r="D200" s="29">
        <f t="shared" si="6"/>
        <v>8</v>
      </c>
      <c r="E200" s="28"/>
      <c r="F200" s="28"/>
      <c r="G200" s="29">
        <f t="shared" si="4"/>
        <v>8</v>
      </c>
      <c r="H200" s="30"/>
      <c r="I200" s="19">
        <f t="shared" si="7"/>
        <v>0</v>
      </c>
    </row>
    <row r="201" spans="1:9" x14ac:dyDescent="0.3">
      <c r="A201" s="28" t="s">
        <v>347</v>
      </c>
      <c r="B201" s="28"/>
      <c r="C201" s="28"/>
      <c r="D201" s="29">
        <f t="shared" si="6"/>
        <v>0</v>
      </c>
      <c r="E201" s="28"/>
      <c r="F201" s="28"/>
      <c r="G201" s="29">
        <f t="shared" si="4"/>
        <v>0</v>
      </c>
      <c r="H201" s="30"/>
      <c r="I201" s="19">
        <f t="shared" si="7"/>
        <v>0</v>
      </c>
    </row>
    <row r="202" spans="1:9" x14ac:dyDescent="0.3">
      <c r="A202" s="28" t="s">
        <v>369</v>
      </c>
      <c r="B202" s="28">
        <v>1</v>
      </c>
      <c r="C202" s="28"/>
      <c r="D202" s="29">
        <f t="shared" si="6"/>
        <v>1</v>
      </c>
      <c r="E202" s="28"/>
      <c r="F202" s="28"/>
      <c r="G202" s="29">
        <f t="shared" si="4"/>
        <v>1</v>
      </c>
      <c r="H202" s="30"/>
      <c r="I202" s="19">
        <f t="shared" si="7"/>
        <v>0</v>
      </c>
    </row>
    <row r="203" spans="1:9" x14ac:dyDescent="0.3">
      <c r="A203" s="28"/>
      <c r="B203" s="28"/>
      <c r="C203" s="28"/>
      <c r="D203" s="29"/>
      <c r="E203" s="28"/>
      <c r="F203" s="28"/>
      <c r="G203" s="29"/>
      <c r="H203" s="30"/>
      <c r="I203" s="19"/>
    </row>
    <row r="204" spans="1:9" x14ac:dyDescent="0.3">
      <c r="A204" s="24" t="s">
        <v>42</v>
      </c>
      <c r="B204" s="28"/>
      <c r="C204" s="28"/>
      <c r="D204" s="29">
        <f t="shared" si="6"/>
        <v>0</v>
      </c>
      <c r="E204" s="28"/>
      <c r="F204" s="28"/>
      <c r="G204" s="29">
        <f t="shared" si="4"/>
        <v>0</v>
      </c>
      <c r="H204" s="30"/>
      <c r="I204" s="19">
        <f t="shared" si="7"/>
        <v>0</v>
      </c>
    </row>
    <row r="205" spans="1:9" x14ac:dyDescent="0.3">
      <c r="A205" s="28" t="s">
        <v>235</v>
      </c>
      <c r="B205" s="28">
        <v>5</v>
      </c>
      <c r="C205" s="28"/>
      <c r="D205" s="29">
        <f t="shared" si="6"/>
        <v>5</v>
      </c>
      <c r="E205" s="28"/>
      <c r="F205" s="28"/>
      <c r="G205" s="29">
        <f t="shared" si="4"/>
        <v>5</v>
      </c>
      <c r="H205" s="30"/>
      <c r="I205" s="19">
        <f t="shared" si="7"/>
        <v>0</v>
      </c>
    </row>
    <row r="206" spans="1:9" x14ac:dyDescent="0.3">
      <c r="A206" s="28" t="s">
        <v>43</v>
      </c>
      <c r="B206" s="28">
        <v>193</v>
      </c>
      <c r="C206" s="28"/>
      <c r="D206" s="29">
        <f t="shared" si="6"/>
        <v>193</v>
      </c>
      <c r="E206" s="28"/>
      <c r="F206" s="28"/>
      <c r="G206" s="29">
        <f t="shared" si="4"/>
        <v>193</v>
      </c>
      <c r="H206" s="30"/>
      <c r="I206" s="19">
        <f t="shared" si="7"/>
        <v>0</v>
      </c>
    </row>
    <row r="207" spans="1:9" x14ac:dyDescent="0.3">
      <c r="A207" s="28" t="s">
        <v>269</v>
      </c>
      <c r="B207" s="28"/>
      <c r="C207" s="28"/>
      <c r="D207" s="29">
        <f t="shared" si="6"/>
        <v>0</v>
      </c>
      <c r="E207" s="28"/>
      <c r="F207" s="28"/>
      <c r="G207" s="29">
        <f t="shared" si="4"/>
        <v>0</v>
      </c>
      <c r="H207" s="30"/>
      <c r="I207" s="19">
        <f t="shared" si="7"/>
        <v>0</v>
      </c>
    </row>
    <row r="208" spans="1:9" x14ac:dyDescent="0.3">
      <c r="A208" s="28" t="s">
        <v>44</v>
      </c>
      <c r="B208" s="28">
        <v>47</v>
      </c>
      <c r="C208" s="28"/>
      <c r="D208" s="29">
        <f t="shared" si="6"/>
        <v>47</v>
      </c>
      <c r="E208" s="28"/>
      <c r="F208" s="28"/>
      <c r="G208" s="29">
        <f t="shared" si="4"/>
        <v>47</v>
      </c>
      <c r="H208" s="31"/>
      <c r="I208" s="19">
        <f t="shared" si="7"/>
        <v>0</v>
      </c>
    </row>
    <row r="209" spans="1:9" x14ac:dyDescent="0.3">
      <c r="A209" s="28" t="s">
        <v>45</v>
      </c>
      <c r="B209" s="28">
        <v>96</v>
      </c>
      <c r="C209" s="28"/>
      <c r="D209" s="29">
        <f t="shared" si="6"/>
        <v>96</v>
      </c>
      <c r="E209" s="28"/>
      <c r="F209" s="28"/>
      <c r="G209" s="29">
        <f t="shared" si="4"/>
        <v>96</v>
      </c>
      <c r="H209" s="31"/>
      <c r="I209" s="19">
        <f t="shared" si="7"/>
        <v>0</v>
      </c>
    </row>
    <row r="210" spans="1:9" x14ac:dyDescent="0.3">
      <c r="A210" s="28" t="s">
        <v>46</v>
      </c>
      <c r="B210" s="28">
        <v>23</v>
      </c>
      <c r="C210" s="28"/>
      <c r="D210" s="29">
        <f t="shared" si="6"/>
        <v>23</v>
      </c>
      <c r="E210" s="28"/>
      <c r="F210" s="28"/>
      <c r="G210" s="29">
        <f t="shared" si="4"/>
        <v>23</v>
      </c>
      <c r="H210" s="30"/>
      <c r="I210" s="19">
        <f t="shared" si="7"/>
        <v>0</v>
      </c>
    </row>
    <row r="211" spans="1:9" x14ac:dyDescent="0.3">
      <c r="A211" s="28" t="s">
        <v>47</v>
      </c>
      <c r="B211" s="28">
        <v>145</v>
      </c>
      <c r="C211" s="28"/>
      <c r="D211" s="29">
        <f t="shared" si="6"/>
        <v>145</v>
      </c>
      <c r="E211" s="28"/>
      <c r="F211" s="28"/>
      <c r="G211" s="29">
        <f t="shared" si="4"/>
        <v>145</v>
      </c>
      <c r="H211" s="31"/>
      <c r="I211" s="19">
        <f t="shared" si="7"/>
        <v>0</v>
      </c>
    </row>
    <row r="212" spans="1:9" x14ac:dyDescent="0.3">
      <c r="A212" s="28" t="s">
        <v>49</v>
      </c>
      <c r="B212" s="28"/>
      <c r="C212" s="28"/>
      <c r="D212" s="29">
        <f t="shared" si="6"/>
        <v>0</v>
      </c>
      <c r="E212" s="28"/>
      <c r="F212" s="28"/>
      <c r="G212" s="29">
        <f t="shared" si="4"/>
        <v>0</v>
      </c>
      <c r="H212" s="30"/>
      <c r="I212" s="19">
        <f t="shared" si="7"/>
        <v>0</v>
      </c>
    </row>
    <row r="213" spans="1:9" x14ac:dyDescent="0.3">
      <c r="A213" s="28" t="s">
        <v>48</v>
      </c>
      <c r="B213" s="28">
        <v>7</v>
      </c>
      <c r="C213" s="28"/>
      <c r="D213" s="29">
        <f t="shared" si="6"/>
        <v>7</v>
      </c>
      <c r="E213" s="28"/>
      <c r="F213" s="28"/>
      <c r="G213" s="29">
        <f t="shared" si="4"/>
        <v>7</v>
      </c>
      <c r="H213" s="30"/>
      <c r="I213" s="19">
        <f t="shared" si="7"/>
        <v>0</v>
      </c>
    </row>
    <row r="214" spans="1:9" x14ac:dyDescent="0.3">
      <c r="A214" s="28" t="s">
        <v>50</v>
      </c>
      <c r="B214" s="28">
        <v>146</v>
      </c>
      <c r="C214" s="28"/>
      <c r="D214" s="29">
        <f t="shared" si="6"/>
        <v>146</v>
      </c>
      <c r="E214" s="28"/>
      <c r="F214" s="28"/>
      <c r="G214" s="29">
        <f t="shared" si="4"/>
        <v>146</v>
      </c>
      <c r="H214" s="30"/>
      <c r="I214" s="19">
        <f t="shared" si="7"/>
        <v>0</v>
      </c>
    </row>
    <row r="215" spans="1:9" x14ac:dyDescent="0.3">
      <c r="A215" s="28" t="s">
        <v>51</v>
      </c>
      <c r="B215" s="28">
        <v>61</v>
      </c>
      <c r="C215" s="28"/>
      <c r="D215" s="29">
        <f t="shared" si="6"/>
        <v>61</v>
      </c>
      <c r="E215" s="28"/>
      <c r="F215" s="28"/>
      <c r="G215" s="29">
        <f t="shared" si="4"/>
        <v>61</v>
      </c>
      <c r="H215" s="30"/>
      <c r="I215" s="19">
        <f t="shared" si="7"/>
        <v>0</v>
      </c>
    </row>
    <row r="216" spans="1:9" x14ac:dyDescent="0.3">
      <c r="A216" s="28" t="s">
        <v>52</v>
      </c>
      <c r="B216" s="28">
        <v>62</v>
      </c>
      <c r="C216" s="28"/>
      <c r="D216" s="29">
        <f t="shared" si="6"/>
        <v>62</v>
      </c>
      <c r="E216" s="28"/>
      <c r="F216" s="28"/>
      <c r="G216" s="29">
        <f t="shared" si="4"/>
        <v>62</v>
      </c>
      <c r="H216" s="30"/>
      <c r="I216" s="19">
        <f t="shared" si="7"/>
        <v>0</v>
      </c>
    </row>
    <row r="217" spans="1:9" x14ac:dyDescent="0.3">
      <c r="A217" s="28" t="s">
        <v>53</v>
      </c>
      <c r="B217" s="28">
        <v>224</v>
      </c>
      <c r="C217" s="28"/>
      <c r="D217" s="29">
        <f t="shared" si="6"/>
        <v>224</v>
      </c>
      <c r="E217" s="28"/>
      <c r="F217" s="28"/>
      <c r="G217" s="29">
        <f t="shared" ref="G217:G326" si="8">D217-E217-F217</f>
        <v>224</v>
      </c>
      <c r="H217" s="31"/>
      <c r="I217" s="19">
        <f t="shared" si="7"/>
        <v>0</v>
      </c>
    </row>
    <row r="218" spans="1:9" x14ac:dyDescent="0.3">
      <c r="A218" s="28" t="s">
        <v>54</v>
      </c>
      <c r="B218" s="28"/>
      <c r="C218" s="28"/>
      <c r="D218" s="29">
        <f t="shared" si="6"/>
        <v>0</v>
      </c>
      <c r="E218" s="28"/>
      <c r="F218" s="28"/>
      <c r="G218" s="29">
        <f t="shared" si="8"/>
        <v>0</v>
      </c>
      <c r="H218" s="30"/>
      <c r="I218" s="19">
        <f t="shared" si="7"/>
        <v>0</v>
      </c>
    </row>
    <row r="219" spans="1:9" x14ac:dyDescent="0.3">
      <c r="A219" s="28" t="s">
        <v>233</v>
      </c>
      <c r="B219" s="28"/>
      <c r="C219" s="28"/>
      <c r="D219" s="29">
        <f t="shared" si="6"/>
        <v>0</v>
      </c>
      <c r="E219" s="28"/>
      <c r="F219" s="28"/>
      <c r="G219" s="29">
        <f t="shared" si="8"/>
        <v>0</v>
      </c>
      <c r="H219" s="33"/>
      <c r="I219" s="19">
        <f t="shared" si="7"/>
        <v>0</v>
      </c>
    </row>
    <row r="220" spans="1:9" x14ac:dyDescent="0.3">
      <c r="A220" s="28" t="s">
        <v>67</v>
      </c>
      <c r="B220" s="28">
        <v>7</v>
      </c>
      <c r="C220" s="28"/>
      <c r="D220" s="29">
        <f t="shared" si="6"/>
        <v>7</v>
      </c>
      <c r="E220" s="28"/>
      <c r="F220" s="28"/>
      <c r="G220" s="29">
        <f t="shared" si="8"/>
        <v>7</v>
      </c>
      <c r="H220" s="30"/>
      <c r="I220" s="19">
        <f t="shared" si="7"/>
        <v>0</v>
      </c>
    </row>
    <row r="221" spans="1:9" x14ac:dyDescent="0.3">
      <c r="A221" s="28" t="s">
        <v>71</v>
      </c>
      <c r="B221" s="28"/>
      <c r="C221" s="28"/>
      <c r="D221" s="29">
        <f t="shared" si="6"/>
        <v>0</v>
      </c>
      <c r="E221" s="28"/>
      <c r="F221" s="28"/>
      <c r="G221" s="29">
        <f t="shared" si="8"/>
        <v>0</v>
      </c>
      <c r="H221" s="31"/>
      <c r="I221" s="19">
        <f t="shared" si="7"/>
        <v>0</v>
      </c>
    </row>
    <row r="222" spans="1:9" x14ac:dyDescent="0.3">
      <c r="A222" s="28" t="s">
        <v>72</v>
      </c>
      <c r="B222" s="28">
        <v>20</v>
      </c>
      <c r="C222" s="28"/>
      <c r="D222" s="29">
        <f t="shared" si="6"/>
        <v>20</v>
      </c>
      <c r="E222" s="28"/>
      <c r="F222" s="28"/>
      <c r="G222" s="29">
        <f t="shared" si="8"/>
        <v>20</v>
      </c>
      <c r="H222" s="30"/>
      <c r="I222" s="19">
        <f t="shared" si="7"/>
        <v>0</v>
      </c>
    </row>
    <row r="223" spans="1:9" x14ac:dyDescent="0.3">
      <c r="A223" s="28" t="s">
        <v>73</v>
      </c>
      <c r="B223" s="28">
        <v>8</v>
      </c>
      <c r="C223" s="28"/>
      <c r="D223" s="29">
        <f t="shared" si="6"/>
        <v>8</v>
      </c>
      <c r="E223" s="28"/>
      <c r="F223" s="28"/>
      <c r="G223" s="29">
        <f t="shared" si="8"/>
        <v>8</v>
      </c>
      <c r="H223" s="30"/>
      <c r="I223" s="19">
        <f t="shared" si="7"/>
        <v>0</v>
      </c>
    </row>
    <row r="224" spans="1:9" x14ac:dyDescent="0.3">
      <c r="A224" s="28" t="s">
        <v>75</v>
      </c>
      <c r="B224" s="28">
        <v>20</v>
      </c>
      <c r="C224" s="28"/>
      <c r="D224" s="29">
        <f t="shared" si="6"/>
        <v>20</v>
      </c>
      <c r="E224" s="28"/>
      <c r="F224" s="28"/>
      <c r="G224" s="29">
        <f t="shared" si="8"/>
        <v>20</v>
      </c>
      <c r="H224" s="31"/>
      <c r="I224" s="19">
        <f t="shared" si="7"/>
        <v>0</v>
      </c>
    </row>
    <row r="225" spans="1:16" x14ac:dyDescent="0.3">
      <c r="A225" s="28" t="s">
        <v>76</v>
      </c>
      <c r="B225" s="28">
        <v>14</v>
      </c>
      <c r="C225" s="28"/>
      <c r="D225" s="29">
        <f t="shared" si="6"/>
        <v>14</v>
      </c>
      <c r="E225" s="28"/>
      <c r="F225" s="28"/>
      <c r="G225" s="29">
        <f t="shared" si="8"/>
        <v>14</v>
      </c>
      <c r="H225" s="31"/>
      <c r="I225" s="19">
        <f t="shared" si="7"/>
        <v>0</v>
      </c>
    </row>
    <row r="226" spans="1:16" x14ac:dyDescent="0.3">
      <c r="A226" s="28" t="s">
        <v>74</v>
      </c>
      <c r="B226" s="28">
        <v>5</v>
      </c>
      <c r="C226" s="28"/>
      <c r="D226" s="29">
        <f t="shared" si="6"/>
        <v>5</v>
      </c>
      <c r="E226" s="28"/>
      <c r="F226" s="28"/>
      <c r="G226" s="29">
        <f t="shared" si="8"/>
        <v>5</v>
      </c>
      <c r="H226" s="31"/>
      <c r="I226" s="19">
        <f t="shared" si="7"/>
        <v>0</v>
      </c>
    </row>
    <row r="227" spans="1:16" x14ac:dyDescent="0.3">
      <c r="A227" s="28" t="s">
        <v>78</v>
      </c>
      <c r="B227" s="28">
        <v>87</v>
      </c>
      <c r="C227" s="28"/>
      <c r="D227" s="29">
        <f t="shared" si="6"/>
        <v>87</v>
      </c>
      <c r="E227" s="28"/>
      <c r="F227" s="28"/>
      <c r="G227" s="29">
        <f t="shared" si="8"/>
        <v>87</v>
      </c>
      <c r="H227" s="30"/>
      <c r="I227" s="19">
        <f t="shared" si="7"/>
        <v>0</v>
      </c>
    </row>
    <row r="228" spans="1:16" x14ac:dyDescent="0.3">
      <c r="A228" s="28" t="s">
        <v>316</v>
      </c>
      <c r="B228" s="28">
        <v>10</v>
      </c>
      <c r="C228" s="28"/>
      <c r="D228" s="29">
        <f t="shared" si="6"/>
        <v>10</v>
      </c>
      <c r="E228" s="28"/>
      <c r="F228" s="28"/>
      <c r="G228" s="29">
        <f t="shared" si="8"/>
        <v>10</v>
      </c>
      <c r="H228" s="32"/>
      <c r="I228" s="19">
        <f t="shared" si="7"/>
        <v>0</v>
      </c>
    </row>
    <row r="229" spans="1:16" x14ac:dyDescent="0.3">
      <c r="A229" s="28" t="s">
        <v>77</v>
      </c>
      <c r="B229" s="28">
        <v>6</v>
      </c>
      <c r="C229" s="28"/>
      <c r="D229" s="29">
        <f t="shared" si="6"/>
        <v>6</v>
      </c>
      <c r="E229" s="28"/>
      <c r="F229" s="28"/>
      <c r="G229" s="29">
        <f t="shared" si="8"/>
        <v>6</v>
      </c>
      <c r="H229" s="31"/>
      <c r="I229" s="19">
        <f t="shared" si="7"/>
        <v>0</v>
      </c>
    </row>
    <row r="230" spans="1:16" x14ac:dyDescent="0.3">
      <c r="A230" s="28" t="s">
        <v>80</v>
      </c>
      <c r="B230" s="28">
        <v>3</v>
      </c>
      <c r="C230" s="28"/>
      <c r="D230" s="29">
        <f t="shared" si="6"/>
        <v>3</v>
      </c>
      <c r="E230" s="28"/>
      <c r="F230" s="28"/>
      <c r="G230" s="29">
        <f t="shared" si="8"/>
        <v>3</v>
      </c>
      <c r="H230" s="31"/>
      <c r="I230" s="19">
        <f t="shared" si="7"/>
        <v>0</v>
      </c>
    </row>
    <row r="231" spans="1:16" x14ac:dyDescent="0.3">
      <c r="A231" s="28"/>
      <c r="B231" s="28"/>
      <c r="C231" s="28"/>
      <c r="D231" s="29">
        <f t="shared" si="6"/>
        <v>0</v>
      </c>
      <c r="E231" s="28"/>
      <c r="F231" s="28"/>
      <c r="G231" s="29">
        <f t="shared" si="8"/>
        <v>0</v>
      </c>
      <c r="H231" s="31"/>
      <c r="I231" s="19">
        <f t="shared" si="7"/>
        <v>0</v>
      </c>
    </row>
    <row r="232" spans="1:16" x14ac:dyDescent="0.3">
      <c r="A232" s="28" t="s">
        <v>154</v>
      </c>
      <c r="B232" s="28"/>
      <c r="C232" s="28"/>
      <c r="D232" s="29">
        <f t="shared" si="6"/>
        <v>0</v>
      </c>
      <c r="E232" s="28"/>
      <c r="F232" s="28"/>
      <c r="G232" s="29">
        <f t="shared" si="8"/>
        <v>0</v>
      </c>
      <c r="H232" s="33"/>
      <c r="I232" s="19">
        <f t="shared" si="7"/>
        <v>0</v>
      </c>
    </row>
    <row r="233" spans="1:16" x14ac:dyDescent="0.3">
      <c r="A233" s="28" t="s">
        <v>155</v>
      </c>
      <c r="B233" s="28">
        <v>120</v>
      </c>
      <c r="C233" s="28"/>
      <c r="D233" s="29">
        <f t="shared" si="6"/>
        <v>120</v>
      </c>
      <c r="E233" s="28"/>
      <c r="F233" s="28"/>
      <c r="G233" s="29">
        <f t="shared" si="8"/>
        <v>120</v>
      </c>
      <c r="H233" s="33"/>
      <c r="I233" s="19">
        <f t="shared" si="7"/>
        <v>0</v>
      </c>
    </row>
    <row r="234" spans="1:16" x14ac:dyDescent="0.3">
      <c r="A234" s="28" t="s">
        <v>171</v>
      </c>
      <c r="B234" s="28"/>
      <c r="C234" s="28"/>
      <c r="D234" s="29">
        <f t="shared" si="6"/>
        <v>0</v>
      </c>
      <c r="E234" s="28"/>
      <c r="F234" s="28"/>
      <c r="G234" s="29">
        <f t="shared" si="8"/>
        <v>0</v>
      </c>
      <c r="H234" s="33"/>
      <c r="I234" s="19">
        <f t="shared" si="7"/>
        <v>0</v>
      </c>
    </row>
    <row r="235" spans="1:16" x14ac:dyDescent="0.3">
      <c r="A235" s="28" t="s">
        <v>172</v>
      </c>
      <c r="B235" s="28"/>
      <c r="C235" s="28"/>
      <c r="D235" s="29">
        <f t="shared" si="6"/>
        <v>0</v>
      </c>
      <c r="E235" s="28"/>
      <c r="F235" s="28"/>
      <c r="G235" s="29">
        <f t="shared" si="8"/>
        <v>0</v>
      </c>
      <c r="H235" s="33"/>
      <c r="I235" s="19"/>
    </row>
    <row r="236" spans="1:16" x14ac:dyDescent="0.3">
      <c r="A236" s="28" t="s">
        <v>173</v>
      </c>
      <c r="B236" s="28"/>
      <c r="C236" s="28"/>
      <c r="D236" s="29">
        <f t="shared" ref="D236:D319" si="9">B236+C236</f>
        <v>0</v>
      </c>
      <c r="E236" s="28"/>
      <c r="F236" s="28"/>
      <c r="G236" s="29">
        <f t="shared" si="8"/>
        <v>0</v>
      </c>
      <c r="H236" s="33"/>
      <c r="I236" s="19">
        <f t="shared" si="7"/>
        <v>0</v>
      </c>
    </row>
    <row r="237" spans="1:16" x14ac:dyDescent="0.3">
      <c r="A237" s="28" t="s">
        <v>200</v>
      </c>
      <c r="B237" s="28"/>
      <c r="C237" s="28"/>
      <c r="D237" s="29">
        <f t="shared" si="9"/>
        <v>0</v>
      </c>
      <c r="E237" s="28"/>
      <c r="F237" s="28"/>
      <c r="G237" s="29">
        <f t="shared" si="8"/>
        <v>0</v>
      </c>
      <c r="H237" s="33"/>
      <c r="I237" s="19">
        <f t="shared" si="7"/>
        <v>0</v>
      </c>
    </row>
    <row r="238" spans="1:16" x14ac:dyDescent="0.3">
      <c r="A238" s="28" t="s">
        <v>370</v>
      </c>
      <c r="B238" s="28"/>
      <c r="C238" s="28"/>
      <c r="D238" s="29">
        <f t="shared" si="9"/>
        <v>0</v>
      </c>
      <c r="E238" s="28"/>
      <c r="F238" s="28"/>
      <c r="G238" s="29">
        <f t="shared" si="8"/>
        <v>0</v>
      </c>
      <c r="H238" s="33"/>
      <c r="I238" s="19">
        <f t="shared" si="7"/>
        <v>0</v>
      </c>
    </row>
    <row r="239" spans="1:16" x14ac:dyDescent="0.3">
      <c r="A239" s="28" t="s">
        <v>75</v>
      </c>
      <c r="B239" s="28"/>
      <c r="C239" s="28"/>
      <c r="D239" s="29">
        <f t="shared" si="9"/>
        <v>0</v>
      </c>
      <c r="E239" s="28"/>
      <c r="F239" s="28"/>
      <c r="G239" s="29">
        <f t="shared" si="8"/>
        <v>0</v>
      </c>
      <c r="H239" s="30"/>
      <c r="I239" s="19">
        <f t="shared" si="7"/>
        <v>0</v>
      </c>
    </row>
    <row r="240" spans="1:16" x14ac:dyDescent="0.3">
      <c r="A240" s="28" t="s">
        <v>307</v>
      </c>
      <c r="B240" s="28">
        <v>90</v>
      </c>
      <c r="C240" s="28"/>
      <c r="D240" s="29">
        <f t="shared" si="9"/>
        <v>90</v>
      </c>
      <c r="E240" s="28"/>
      <c r="F240" s="28"/>
      <c r="G240" s="29">
        <f t="shared" si="8"/>
        <v>90</v>
      </c>
      <c r="H240" s="30"/>
      <c r="I240" s="19">
        <f t="shared" si="7"/>
        <v>0</v>
      </c>
      <c r="P240" s="17">
        <f>26000/40</f>
        <v>650</v>
      </c>
    </row>
    <row r="241" spans="1:9" x14ac:dyDescent="0.3">
      <c r="A241" s="28" t="s">
        <v>279</v>
      </c>
      <c r="B241" s="28"/>
      <c r="C241" s="28"/>
      <c r="D241" s="29">
        <f t="shared" si="9"/>
        <v>0</v>
      </c>
      <c r="E241" s="28"/>
      <c r="F241" s="28"/>
      <c r="G241" s="29">
        <f t="shared" si="8"/>
        <v>0</v>
      </c>
      <c r="H241" s="30"/>
      <c r="I241" s="19">
        <f t="shared" si="7"/>
        <v>0</v>
      </c>
    </row>
    <row r="242" spans="1:9" x14ac:dyDescent="0.3">
      <c r="A242" s="28" t="s">
        <v>222</v>
      </c>
      <c r="B242" s="28">
        <v>10</v>
      </c>
      <c r="C242" s="28"/>
      <c r="D242" s="29">
        <f t="shared" si="9"/>
        <v>10</v>
      </c>
      <c r="E242" s="28"/>
      <c r="F242" s="28"/>
      <c r="G242" s="29">
        <f t="shared" si="8"/>
        <v>10</v>
      </c>
      <c r="H242" s="30"/>
      <c r="I242" s="19">
        <f t="shared" si="7"/>
        <v>0</v>
      </c>
    </row>
    <row r="243" spans="1:9" x14ac:dyDescent="0.3">
      <c r="A243" s="28" t="s">
        <v>371</v>
      </c>
      <c r="B243" s="28">
        <v>150</v>
      </c>
      <c r="C243" s="28"/>
      <c r="D243" s="29">
        <f t="shared" si="9"/>
        <v>150</v>
      </c>
      <c r="E243" s="28"/>
      <c r="F243" s="28"/>
      <c r="G243" s="29">
        <f t="shared" si="8"/>
        <v>150</v>
      </c>
      <c r="H243" s="30"/>
      <c r="I243" s="19">
        <f t="shared" si="7"/>
        <v>0</v>
      </c>
    </row>
    <row r="244" spans="1:9" x14ac:dyDescent="0.3">
      <c r="A244" s="28" t="s">
        <v>188</v>
      </c>
      <c r="B244" s="28">
        <v>26</v>
      </c>
      <c r="C244" s="28"/>
      <c r="D244" s="29">
        <f t="shared" si="9"/>
        <v>26</v>
      </c>
      <c r="E244" s="28"/>
      <c r="F244" s="28"/>
      <c r="G244" s="29">
        <f t="shared" si="8"/>
        <v>26</v>
      </c>
      <c r="H244" s="30"/>
      <c r="I244" s="19">
        <f t="shared" si="7"/>
        <v>0</v>
      </c>
    </row>
    <row r="245" spans="1:9" x14ac:dyDescent="0.3">
      <c r="A245" s="28" t="s">
        <v>230</v>
      </c>
      <c r="B245" s="28">
        <v>10</v>
      </c>
      <c r="C245" s="28"/>
      <c r="D245" s="29">
        <f t="shared" si="9"/>
        <v>10</v>
      </c>
      <c r="E245" s="28"/>
      <c r="F245" s="28"/>
      <c r="G245" s="29">
        <f t="shared" si="8"/>
        <v>10</v>
      </c>
      <c r="H245" s="30"/>
      <c r="I245" s="19">
        <f t="shared" si="7"/>
        <v>0</v>
      </c>
    </row>
    <row r="246" spans="1:9" x14ac:dyDescent="0.3">
      <c r="A246" s="28" t="s">
        <v>245</v>
      </c>
      <c r="B246" s="28"/>
      <c r="C246" s="28"/>
      <c r="D246" s="29">
        <f t="shared" si="9"/>
        <v>0</v>
      </c>
      <c r="E246" s="28"/>
      <c r="F246" s="28"/>
      <c r="G246" s="29">
        <f t="shared" si="8"/>
        <v>0</v>
      </c>
      <c r="H246" s="30"/>
      <c r="I246" s="19">
        <f t="shared" si="7"/>
        <v>0</v>
      </c>
    </row>
    <row r="247" spans="1:9" x14ac:dyDescent="0.3">
      <c r="A247" s="28" t="s">
        <v>250</v>
      </c>
      <c r="B247" s="28"/>
      <c r="C247" s="28"/>
      <c r="D247" s="29">
        <f t="shared" si="9"/>
        <v>0</v>
      </c>
      <c r="E247" s="28"/>
      <c r="F247" s="28"/>
      <c r="G247" s="29"/>
      <c r="H247" s="30"/>
      <c r="I247" s="19">
        <f t="shared" si="7"/>
        <v>0</v>
      </c>
    </row>
    <row r="248" spans="1:9" x14ac:dyDescent="0.3">
      <c r="A248" s="28" t="s">
        <v>251</v>
      </c>
      <c r="B248" s="28"/>
      <c r="C248" s="28"/>
      <c r="D248" s="29">
        <f t="shared" si="9"/>
        <v>0</v>
      </c>
      <c r="E248" s="28"/>
      <c r="F248" s="28"/>
      <c r="G248" s="29">
        <f t="shared" si="8"/>
        <v>0</v>
      </c>
      <c r="H248" s="30"/>
      <c r="I248" s="19">
        <f t="shared" si="7"/>
        <v>0</v>
      </c>
    </row>
    <row r="249" spans="1:9" x14ac:dyDescent="0.3">
      <c r="A249" s="28" t="s">
        <v>372</v>
      </c>
      <c r="B249" s="28"/>
      <c r="C249" s="28"/>
      <c r="D249" s="29">
        <f t="shared" si="9"/>
        <v>0</v>
      </c>
      <c r="E249" s="28"/>
      <c r="F249" s="28"/>
      <c r="G249" s="29">
        <f t="shared" si="8"/>
        <v>0</v>
      </c>
      <c r="H249" s="30"/>
      <c r="I249" s="19">
        <f t="shared" si="7"/>
        <v>0</v>
      </c>
    </row>
    <row r="250" spans="1:9" x14ac:dyDescent="0.3">
      <c r="A250" s="28" t="s">
        <v>118</v>
      </c>
      <c r="B250" s="28"/>
      <c r="C250" s="28"/>
      <c r="D250" s="29">
        <f t="shared" si="9"/>
        <v>0</v>
      </c>
      <c r="E250" s="28"/>
      <c r="F250" s="28"/>
      <c r="G250" s="29">
        <f t="shared" si="8"/>
        <v>0</v>
      </c>
      <c r="H250" s="30"/>
      <c r="I250" s="19">
        <f t="shared" si="7"/>
        <v>0</v>
      </c>
    </row>
    <row r="251" spans="1:9" x14ac:dyDescent="0.3">
      <c r="A251" s="28" t="s">
        <v>118</v>
      </c>
      <c r="B251" s="28"/>
      <c r="C251" s="28"/>
      <c r="D251" s="29">
        <f t="shared" si="9"/>
        <v>0</v>
      </c>
      <c r="E251" s="28"/>
      <c r="F251" s="28"/>
      <c r="G251" s="29">
        <f t="shared" si="8"/>
        <v>0</v>
      </c>
      <c r="H251" s="30"/>
      <c r="I251" s="19">
        <f t="shared" si="7"/>
        <v>0</v>
      </c>
    </row>
    <row r="252" spans="1:9" x14ac:dyDescent="0.3">
      <c r="A252" s="28" t="s">
        <v>321</v>
      </c>
      <c r="B252" s="28"/>
      <c r="C252" s="28"/>
      <c r="D252" s="29">
        <f t="shared" si="9"/>
        <v>0</v>
      </c>
      <c r="E252" s="28"/>
      <c r="F252" s="28"/>
      <c r="G252" s="29">
        <f t="shared" si="8"/>
        <v>0</v>
      </c>
      <c r="H252" s="30"/>
      <c r="I252" s="19">
        <f t="shared" si="7"/>
        <v>0</v>
      </c>
    </row>
    <row r="253" spans="1:9" x14ac:dyDescent="0.3">
      <c r="A253" s="28" t="s">
        <v>339</v>
      </c>
      <c r="B253" s="28">
        <v>3</v>
      </c>
      <c r="C253" s="28"/>
      <c r="D253" s="29">
        <f t="shared" si="9"/>
        <v>3</v>
      </c>
      <c r="E253" s="28"/>
      <c r="F253" s="28"/>
      <c r="G253" s="29">
        <f t="shared" si="8"/>
        <v>3</v>
      </c>
      <c r="H253" s="30"/>
      <c r="I253" s="19">
        <f t="shared" si="7"/>
        <v>0</v>
      </c>
    </row>
    <row r="254" spans="1:9" x14ac:dyDescent="0.3">
      <c r="A254" s="28"/>
      <c r="B254" s="28"/>
      <c r="C254" s="28"/>
      <c r="D254" s="29"/>
      <c r="E254" s="28"/>
      <c r="F254" s="28"/>
      <c r="G254" s="29"/>
      <c r="H254" s="30"/>
      <c r="I254" s="19"/>
    </row>
    <row r="255" spans="1:9" x14ac:dyDescent="0.3">
      <c r="A255" s="24" t="s">
        <v>3</v>
      </c>
      <c r="B255" s="28"/>
      <c r="C255" s="28"/>
      <c r="D255" s="29">
        <f t="shared" si="9"/>
        <v>0</v>
      </c>
      <c r="E255" s="28"/>
      <c r="F255" s="28"/>
      <c r="G255" s="29">
        <f t="shared" si="8"/>
        <v>0</v>
      </c>
      <c r="H255" s="30"/>
      <c r="I255" s="19">
        <f t="shared" si="7"/>
        <v>0</v>
      </c>
    </row>
    <row r="256" spans="1:9" x14ac:dyDescent="0.3">
      <c r="A256" s="28" t="s">
        <v>55</v>
      </c>
      <c r="B256" s="28">
        <v>49</v>
      </c>
      <c r="C256" s="28"/>
      <c r="D256" s="29">
        <f t="shared" si="9"/>
        <v>49</v>
      </c>
      <c r="E256" s="28"/>
      <c r="F256" s="28"/>
      <c r="G256" s="29">
        <f t="shared" si="8"/>
        <v>49</v>
      </c>
      <c r="H256" s="30"/>
      <c r="I256" s="19">
        <f t="shared" si="7"/>
        <v>0</v>
      </c>
    </row>
    <row r="257" spans="1:9" x14ac:dyDescent="0.3">
      <c r="A257" s="28" t="s">
        <v>360</v>
      </c>
      <c r="B257" s="28">
        <v>3</v>
      </c>
      <c r="C257" s="28"/>
      <c r="D257" s="29">
        <f t="shared" si="9"/>
        <v>3</v>
      </c>
      <c r="E257" s="28"/>
      <c r="F257" s="28"/>
      <c r="G257" s="29">
        <f t="shared" si="8"/>
        <v>3</v>
      </c>
      <c r="H257" s="30"/>
      <c r="I257" s="19">
        <f t="shared" si="7"/>
        <v>0</v>
      </c>
    </row>
    <row r="258" spans="1:9" x14ac:dyDescent="0.3">
      <c r="A258" s="28" t="s">
        <v>56</v>
      </c>
      <c r="B258" s="28">
        <v>7</v>
      </c>
      <c r="C258" s="28"/>
      <c r="D258" s="29">
        <f t="shared" si="9"/>
        <v>7</v>
      </c>
      <c r="E258" s="28"/>
      <c r="F258" s="28"/>
      <c r="G258" s="29">
        <f t="shared" si="8"/>
        <v>7</v>
      </c>
      <c r="H258" s="30"/>
      <c r="I258" s="19">
        <f t="shared" si="7"/>
        <v>0</v>
      </c>
    </row>
    <row r="259" spans="1:9" x14ac:dyDescent="0.3">
      <c r="A259" s="28" t="s">
        <v>57</v>
      </c>
      <c r="B259" s="28">
        <v>109</v>
      </c>
      <c r="C259" s="28"/>
      <c r="D259" s="29">
        <f t="shared" si="9"/>
        <v>109</v>
      </c>
      <c r="E259" s="28"/>
      <c r="F259" s="28"/>
      <c r="G259" s="29">
        <f t="shared" si="8"/>
        <v>109</v>
      </c>
      <c r="H259" s="31"/>
      <c r="I259" s="19">
        <f t="shared" si="7"/>
        <v>0</v>
      </c>
    </row>
    <row r="260" spans="1:9" x14ac:dyDescent="0.3">
      <c r="A260" s="28" t="s">
        <v>293</v>
      </c>
      <c r="B260" s="28">
        <v>20</v>
      </c>
      <c r="C260" s="28"/>
      <c r="D260" s="29">
        <f t="shared" si="9"/>
        <v>20</v>
      </c>
      <c r="E260" s="28"/>
      <c r="F260" s="28"/>
      <c r="G260" s="29">
        <f t="shared" si="8"/>
        <v>20</v>
      </c>
      <c r="H260" s="31"/>
      <c r="I260" s="19">
        <f t="shared" si="7"/>
        <v>0</v>
      </c>
    </row>
    <row r="261" spans="1:9" x14ac:dyDescent="0.3">
      <c r="A261" s="28" t="s">
        <v>294</v>
      </c>
      <c r="B261" s="28">
        <v>22</v>
      </c>
      <c r="C261" s="28"/>
      <c r="D261" s="29">
        <f t="shared" si="9"/>
        <v>22</v>
      </c>
      <c r="E261" s="28"/>
      <c r="F261" s="28"/>
      <c r="G261" s="29">
        <f t="shared" si="8"/>
        <v>22</v>
      </c>
      <c r="H261" s="31"/>
      <c r="I261" s="19">
        <f t="shared" si="7"/>
        <v>0</v>
      </c>
    </row>
    <row r="262" spans="1:9" x14ac:dyDescent="0.3">
      <c r="A262" s="28" t="s">
        <v>58</v>
      </c>
      <c r="B262" s="28">
        <v>41</v>
      </c>
      <c r="C262" s="28"/>
      <c r="D262" s="29">
        <f t="shared" si="9"/>
        <v>41</v>
      </c>
      <c r="E262" s="28"/>
      <c r="F262" s="28"/>
      <c r="G262" s="29">
        <f t="shared" si="8"/>
        <v>41</v>
      </c>
      <c r="H262" s="31"/>
      <c r="I262" s="19">
        <f t="shared" si="7"/>
        <v>0</v>
      </c>
    </row>
    <row r="263" spans="1:9" x14ac:dyDescent="0.3">
      <c r="A263" s="28" t="s">
        <v>59</v>
      </c>
      <c r="B263" s="28">
        <v>41</v>
      </c>
      <c r="C263" s="28"/>
      <c r="D263" s="29">
        <f t="shared" si="9"/>
        <v>41</v>
      </c>
      <c r="E263" s="28"/>
      <c r="F263" s="28"/>
      <c r="G263" s="29">
        <f t="shared" si="8"/>
        <v>41</v>
      </c>
      <c r="H263" s="31"/>
      <c r="I263" s="19">
        <f t="shared" si="7"/>
        <v>0</v>
      </c>
    </row>
    <row r="264" spans="1:9" x14ac:dyDescent="0.3">
      <c r="A264" s="28" t="s">
        <v>60</v>
      </c>
      <c r="B264" s="28">
        <v>42</v>
      </c>
      <c r="C264" s="28"/>
      <c r="D264" s="29">
        <f t="shared" si="9"/>
        <v>42</v>
      </c>
      <c r="E264" s="28"/>
      <c r="F264" s="28"/>
      <c r="G264" s="29">
        <f t="shared" si="8"/>
        <v>42</v>
      </c>
      <c r="H264" s="30"/>
      <c r="I264" s="19">
        <f t="shared" si="7"/>
        <v>0</v>
      </c>
    </row>
    <row r="265" spans="1:9" x14ac:dyDescent="0.3">
      <c r="A265" s="28" t="s">
        <v>61</v>
      </c>
      <c r="B265" s="28">
        <v>10</v>
      </c>
      <c r="C265" s="28"/>
      <c r="D265" s="29">
        <f t="shared" si="9"/>
        <v>10</v>
      </c>
      <c r="E265" s="28"/>
      <c r="F265" s="28"/>
      <c r="G265" s="29">
        <f t="shared" si="8"/>
        <v>10</v>
      </c>
      <c r="H265" s="30"/>
      <c r="I265" s="19">
        <f t="shared" si="7"/>
        <v>0</v>
      </c>
    </row>
    <row r="266" spans="1:9" x14ac:dyDescent="0.3">
      <c r="A266" s="28" t="s">
        <v>62</v>
      </c>
      <c r="B266" s="28">
        <v>21</v>
      </c>
      <c r="C266" s="28"/>
      <c r="D266" s="29">
        <f t="shared" si="9"/>
        <v>21</v>
      </c>
      <c r="E266" s="28"/>
      <c r="F266" s="28"/>
      <c r="G266" s="29">
        <f t="shared" si="8"/>
        <v>21</v>
      </c>
      <c r="H266" s="30"/>
      <c r="I266" s="19">
        <f t="shared" si="7"/>
        <v>0</v>
      </c>
    </row>
    <row r="267" spans="1:9" x14ac:dyDescent="0.3">
      <c r="A267" s="28" t="s">
        <v>68</v>
      </c>
      <c r="B267" s="28">
        <v>19</v>
      </c>
      <c r="C267" s="28"/>
      <c r="D267" s="29">
        <f t="shared" si="9"/>
        <v>19</v>
      </c>
      <c r="E267" s="28"/>
      <c r="F267" s="28"/>
      <c r="G267" s="29">
        <f t="shared" si="8"/>
        <v>19</v>
      </c>
      <c r="H267" s="30"/>
      <c r="I267" s="19">
        <f t="shared" si="7"/>
        <v>0</v>
      </c>
    </row>
    <row r="268" spans="1:9" x14ac:dyDescent="0.3">
      <c r="A268" s="28" t="s">
        <v>324</v>
      </c>
      <c r="B268" s="28">
        <v>6</v>
      </c>
      <c r="C268" s="28"/>
      <c r="D268" s="29">
        <f t="shared" si="9"/>
        <v>6</v>
      </c>
      <c r="E268" s="28"/>
      <c r="F268" s="28"/>
      <c r="G268" s="29">
        <f t="shared" si="8"/>
        <v>6</v>
      </c>
      <c r="H268" s="30"/>
      <c r="I268" s="19">
        <f t="shared" si="7"/>
        <v>0</v>
      </c>
    </row>
    <row r="269" spans="1:9" x14ac:dyDescent="0.3">
      <c r="A269" s="28" t="s">
        <v>377</v>
      </c>
      <c r="B269" s="28">
        <v>18</v>
      </c>
      <c r="C269" s="28"/>
      <c r="D269" s="29">
        <f t="shared" si="9"/>
        <v>18</v>
      </c>
      <c r="E269" s="28"/>
      <c r="F269" s="28"/>
      <c r="G269" s="29">
        <f t="shared" si="8"/>
        <v>18</v>
      </c>
      <c r="H269" s="30"/>
      <c r="I269" s="19">
        <f t="shared" si="7"/>
        <v>0</v>
      </c>
    </row>
    <row r="270" spans="1:9" x14ac:dyDescent="0.3">
      <c r="A270" s="28" t="s">
        <v>375</v>
      </c>
      <c r="B270" s="28"/>
      <c r="C270" s="28"/>
      <c r="D270" s="29">
        <f t="shared" si="9"/>
        <v>0</v>
      </c>
      <c r="E270" s="28"/>
      <c r="F270" s="28"/>
      <c r="G270" s="29">
        <f t="shared" si="8"/>
        <v>0</v>
      </c>
      <c r="H270" s="30"/>
      <c r="I270" s="19">
        <f t="shared" si="7"/>
        <v>0</v>
      </c>
    </row>
    <row r="271" spans="1:9" x14ac:dyDescent="0.3">
      <c r="A271" s="28"/>
      <c r="B271" s="28"/>
      <c r="C271" s="28"/>
      <c r="D271" s="29"/>
      <c r="E271" s="28"/>
      <c r="F271" s="28"/>
      <c r="G271" s="29"/>
      <c r="H271" s="30"/>
      <c r="I271" s="19"/>
    </row>
    <row r="272" spans="1:9" x14ac:dyDescent="0.3">
      <c r="A272" s="24" t="s">
        <v>63</v>
      </c>
      <c r="B272" s="28"/>
      <c r="C272" s="28"/>
      <c r="D272" s="29"/>
      <c r="E272" s="28"/>
      <c r="F272" s="28"/>
      <c r="G272" s="29">
        <f t="shared" si="8"/>
        <v>0</v>
      </c>
      <c r="H272" s="30"/>
      <c r="I272" s="19">
        <f t="shared" si="7"/>
        <v>0</v>
      </c>
    </row>
    <row r="273" spans="1:9" x14ac:dyDescent="0.3">
      <c r="A273" s="28" t="s">
        <v>64</v>
      </c>
      <c r="B273" s="28"/>
      <c r="C273" s="28"/>
      <c r="D273" s="29">
        <f t="shared" si="9"/>
        <v>0</v>
      </c>
      <c r="E273" s="28"/>
      <c r="F273" s="28"/>
      <c r="G273" s="29">
        <f t="shared" si="8"/>
        <v>0</v>
      </c>
      <c r="H273" s="30"/>
      <c r="I273" s="19">
        <f t="shared" si="7"/>
        <v>0</v>
      </c>
    </row>
    <row r="274" spans="1:9" x14ac:dyDescent="0.3">
      <c r="A274" s="28" t="s">
        <v>174</v>
      </c>
      <c r="B274" s="28"/>
      <c r="C274" s="28"/>
      <c r="D274" s="29">
        <f t="shared" si="9"/>
        <v>0</v>
      </c>
      <c r="E274" s="28"/>
      <c r="F274" s="28"/>
      <c r="G274" s="29">
        <f t="shared" si="8"/>
        <v>0</v>
      </c>
      <c r="H274" s="30"/>
      <c r="I274" s="19">
        <f t="shared" si="7"/>
        <v>0</v>
      </c>
    </row>
    <row r="275" spans="1:9" x14ac:dyDescent="0.3">
      <c r="A275" s="28" t="s">
        <v>224</v>
      </c>
      <c r="B275" s="28"/>
      <c r="C275" s="28"/>
      <c r="D275" s="29">
        <f t="shared" si="9"/>
        <v>0</v>
      </c>
      <c r="E275" s="28"/>
      <c r="F275" s="28"/>
      <c r="G275" s="29">
        <f t="shared" si="8"/>
        <v>0</v>
      </c>
      <c r="H275" s="30"/>
      <c r="I275" s="19">
        <f t="shared" si="7"/>
        <v>0</v>
      </c>
    </row>
    <row r="276" spans="1:9" x14ac:dyDescent="0.3">
      <c r="A276" s="28" t="s">
        <v>229</v>
      </c>
      <c r="B276" s="28"/>
      <c r="C276" s="28"/>
      <c r="D276" s="29">
        <f t="shared" si="9"/>
        <v>0</v>
      </c>
      <c r="E276" s="28"/>
      <c r="F276" s="28"/>
      <c r="G276" s="29">
        <f t="shared" si="8"/>
        <v>0</v>
      </c>
      <c r="H276" s="30"/>
      <c r="I276" s="19">
        <f t="shared" si="7"/>
        <v>0</v>
      </c>
    </row>
    <row r="277" spans="1:9" x14ac:dyDescent="0.3">
      <c r="A277" s="28" t="s">
        <v>225</v>
      </c>
      <c r="B277" s="28"/>
      <c r="C277" s="28"/>
      <c r="D277" s="29">
        <f t="shared" si="9"/>
        <v>0</v>
      </c>
      <c r="E277" s="28"/>
      <c r="F277" s="28"/>
      <c r="G277" s="29">
        <f t="shared" si="8"/>
        <v>0</v>
      </c>
      <c r="H277" s="30"/>
      <c r="I277" s="19">
        <f t="shared" si="7"/>
        <v>0</v>
      </c>
    </row>
    <row r="278" spans="1:9" x14ac:dyDescent="0.3">
      <c r="A278" s="28" t="s">
        <v>243</v>
      </c>
      <c r="B278" s="28"/>
      <c r="C278" s="28"/>
      <c r="D278" s="29">
        <f t="shared" si="9"/>
        <v>0</v>
      </c>
      <c r="E278" s="28"/>
      <c r="F278" s="28"/>
      <c r="G278" s="29">
        <f t="shared" si="8"/>
        <v>0</v>
      </c>
      <c r="H278" s="30"/>
      <c r="I278" s="19">
        <f t="shared" si="7"/>
        <v>0</v>
      </c>
    </row>
    <row r="279" spans="1:9" x14ac:dyDescent="0.3">
      <c r="A279" s="28" t="s">
        <v>263</v>
      </c>
      <c r="B279" s="28"/>
      <c r="C279" s="28"/>
      <c r="D279" s="29">
        <f t="shared" si="9"/>
        <v>0</v>
      </c>
      <c r="E279" s="28"/>
      <c r="F279" s="28"/>
      <c r="G279" s="29">
        <f t="shared" si="8"/>
        <v>0</v>
      </c>
      <c r="H279" s="30"/>
      <c r="I279" s="19">
        <f t="shared" si="7"/>
        <v>0</v>
      </c>
    </row>
    <row r="280" spans="1:9" x14ac:dyDescent="0.3">
      <c r="A280" s="28" t="s">
        <v>295</v>
      </c>
      <c r="B280" s="28"/>
      <c r="C280" s="28"/>
      <c r="D280" s="29">
        <f t="shared" si="9"/>
        <v>0</v>
      </c>
      <c r="E280" s="28"/>
      <c r="F280" s="28"/>
      <c r="G280" s="29">
        <f t="shared" si="8"/>
        <v>0</v>
      </c>
      <c r="H280" s="30"/>
      <c r="I280" s="19">
        <f t="shared" si="7"/>
        <v>0</v>
      </c>
    </row>
    <row r="281" spans="1:9" x14ac:dyDescent="0.3">
      <c r="A281" s="28" t="s">
        <v>319</v>
      </c>
      <c r="B281" s="28"/>
      <c r="C281" s="28"/>
      <c r="D281" s="29">
        <f t="shared" si="9"/>
        <v>0</v>
      </c>
      <c r="E281" s="28"/>
      <c r="F281" s="28"/>
      <c r="G281" s="29">
        <f t="shared" si="8"/>
        <v>0</v>
      </c>
      <c r="H281" s="30"/>
      <c r="I281" s="19">
        <f t="shared" si="7"/>
        <v>0</v>
      </c>
    </row>
    <row r="282" spans="1:9" x14ac:dyDescent="0.3">
      <c r="A282" s="28" t="s">
        <v>111</v>
      </c>
      <c r="B282" s="28"/>
      <c r="C282" s="28"/>
      <c r="D282" s="29">
        <f t="shared" si="9"/>
        <v>0</v>
      </c>
      <c r="E282" s="28"/>
      <c r="F282" s="28"/>
      <c r="G282" s="29">
        <f t="shared" si="8"/>
        <v>0</v>
      </c>
      <c r="H282" s="30"/>
      <c r="I282" s="19">
        <f t="shared" si="7"/>
        <v>0</v>
      </c>
    </row>
    <row r="283" spans="1:9" x14ac:dyDescent="0.3">
      <c r="A283" s="28" t="s">
        <v>296</v>
      </c>
      <c r="B283" s="28"/>
      <c r="C283" s="28"/>
      <c r="D283" s="29">
        <f t="shared" si="9"/>
        <v>0</v>
      </c>
      <c r="E283" s="28"/>
      <c r="F283" s="28"/>
      <c r="G283" s="29">
        <f t="shared" si="8"/>
        <v>0</v>
      </c>
      <c r="H283" s="30"/>
      <c r="I283" s="19">
        <f t="shared" si="7"/>
        <v>0</v>
      </c>
    </row>
    <row r="284" spans="1:9" x14ac:dyDescent="0.3">
      <c r="A284" s="28" t="s">
        <v>373</v>
      </c>
      <c r="B284" s="28"/>
      <c r="C284" s="28"/>
      <c r="D284" s="29">
        <f t="shared" si="9"/>
        <v>0</v>
      </c>
      <c r="E284" s="28"/>
      <c r="F284" s="28"/>
      <c r="G284" s="29">
        <f t="shared" si="8"/>
        <v>0</v>
      </c>
      <c r="H284" s="30"/>
      <c r="I284" s="19">
        <f t="shared" si="7"/>
        <v>0</v>
      </c>
    </row>
    <row r="285" spans="1:9" x14ac:dyDescent="0.3">
      <c r="A285" s="28" t="s">
        <v>376</v>
      </c>
      <c r="B285" s="28"/>
      <c r="C285" s="28"/>
      <c r="D285" s="29">
        <f t="shared" si="9"/>
        <v>0</v>
      </c>
      <c r="E285" s="28"/>
      <c r="F285" s="28"/>
      <c r="G285" s="29">
        <f t="shared" si="8"/>
        <v>0</v>
      </c>
      <c r="H285" s="30"/>
      <c r="I285" s="19">
        <f t="shared" ref="I285:I363" si="10">G285*H285</f>
        <v>0</v>
      </c>
    </row>
    <row r="286" spans="1:9" x14ac:dyDescent="0.3">
      <c r="A286" s="28" t="s">
        <v>379</v>
      </c>
      <c r="B286" s="28"/>
      <c r="C286" s="28"/>
      <c r="D286" s="29">
        <f t="shared" si="9"/>
        <v>0</v>
      </c>
      <c r="E286" s="28"/>
      <c r="F286" s="28"/>
      <c r="G286" s="29">
        <f t="shared" si="8"/>
        <v>0</v>
      </c>
      <c r="H286" s="30"/>
      <c r="I286" s="19">
        <f t="shared" si="10"/>
        <v>0</v>
      </c>
    </row>
    <row r="287" spans="1:9" x14ac:dyDescent="0.3">
      <c r="A287" s="28" t="s">
        <v>374</v>
      </c>
      <c r="B287" s="28"/>
      <c r="C287" s="28"/>
      <c r="D287" s="29">
        <f t="shared" si="9"/>
        <v>0</v>
      </c>
      <c r="E287" s="28"/>
      <c r="F287" s="28"/>
      <c r="G287" s="29">
        <f t="shared" si="8"/>
        <v>0</v>
      </c>
      <c r="H287" s="30"/>
      <c r="I287" s="19">
        <f t="shared" si="10"/>
        <v>0</v>
      </c>
    </row>
    <row r="288" spans="1:9" x14ac:dyDescent="0.3">
      <c r="A288" s="28" t="s">
        <v>378</v>
      </c>
      <c r="B288" s="28"/>
      <c r="C288" s="28"/>
      <c r="D288" s="29">
        <f t="shared" si="9"/>
        <v>0</v>
      </c>
      <c r="E288" s="29"/>
      <c r="F288" s="28"/>
      <c r="G288" s="29">
        <f t="shared" si="8"/>
        <v>0</v>
      </c>
      <c r="H288" s="30"/>
      <c r="I288" s="19">
        <f t="shared" si="10"/>
        <v>0</v>
      </c>
    </row>
    <row r="289" spans="1:9" x14ac:dyDescent="0.3">
      <c r="A289" s="28" t="s">
        <v>380</v>
      </c>
      <c r="B289" s="28"/>
      <c r="C289" s="28"/>
      <c r="D289" s="29">
        <f t="shared" si="9"/>
        <v>0</v>
      </c>
      <c r="E289" s="29"/>
      <c r="F289" s="28"/>
      <c r="G289" s="29">
        <f t="shared" si="8"/>
        <v>0</v>
      </c>
      <c r="H289" s="30"/>
      <c r="I289" s="19">
        <f t="shared" si="10"/>
        <v>0</v>
      </c>
    </row>
    <row r="290" spans="1:9" x14ac:dyDescent="0.3">
      <c r="A290" s="28" t="s">
        <v>381</v>
      </c>
      <c r="B290" s="28"/>
      <c r="C290" s="28"/>
      <c r="D290" s="29">
        <f t="shared" si="9"/>
        <v>0</v>
      </c>
      <c r="E290" s="29"/>
      <c r="F290" s="28"/>
      <c r="G290" s="29">
        <f t="shared" si="8"/>
        <v>0</v>
      </c>
      <c r="H290" s="30"/>
      <c r="I290" s="19">
        <f t="shared" si="10"/>
        <v>0</v>
      </c>
    </row>
    <row r="291" spans="1:9" x14ac:dyDescent="0.3">
      <c r="A291" s="28" t="s">
        <v>385</v>
      </c>
      <c r="B291" s="28"/>
      <c r="C291" s="28"/>
      <c r="D291" s="29">
        <f t="shared" si="9"/>
        <v>0</v>
      </c>
      <c r="E291" s="29"/>
      <c r="F291" s="28"/>
      <c r="G291" s="29">
        <f t="shared" si="8"/>
        <v>0</v>
      </c>
      <c r="H291" s="30"/>
      <c r="I291" s="19">
        <f t="shared" si="10"/>
        <v>0</v>
      </c>
    </row>
    <row r="292" spans="1:9" x14ac:dyDescent="0.3">
      <c r="A292" s="28" t="s">
        <v>382</v>
      </c>
      <c r="B292" s="28"/>
      <c r="C292" s="28"/>
      <c r="D292" s="29">
        <f t="shared" si="9"/>
        <v>0</v>
      </c>
      <c r="E292" s="29"/>
      <c r="F292" s="28"/>
      <c r="G292" s="29">
        <f t="shared" si="8"/>
        <v>0</v>
      </c>
      <c r="H292" s="30"/>
      <c r="I292" s="19">
        <f t="shared" si="10"/>
        <v>0</v>
      </c>
    </row>
    <row r="293" spans="1:9" x14ac:dyDescent="0.3">
      <c r="A293" s="28" t="s">
        <v>383</v>
      </c>
      <c r="B293" s="28"/>
      <c r="C293" s="28"/>
      <c r="D293" s="29">
        <f t="shared" si="9"/>
        <v>0</v>
      </c>
      <c r="E293" s="29"/>
      <c r="F293" s="28"/>
      <c r="G293" s="29">
        <f t="shared" si="8"/>
        <v>0</v>
      </c>
      <c r="H293" s="30"/>
      <c r="I293" s="19">
        <f t="shared" si="10"/>
        <v>0</v>
      </c>
    </row>
    <row r="294" spans="1:9" x14ac:dyDescent="0.3">
      <c r="A294" s="28" t="s">
        <v>384</v>
      </c>
      <c r="B294" s="28"/>
      <c r="C294" s="28"/>
      <c r="D294" s="29">
        <f t="shared" si="9"/>
        <v>0</v>
      </c>
      <c r="E294" s="29"/>
      <c r="F294" s="28"/>
      <c r="G294" s="29">
        <f t="shared" si="8"/>
        <v>0</v>
      </c>
      <c r="H294" s="30"/>
      <c r="I294" s="19">
        <f t="shared" si="10"/>
        <v>0</v>
      </c>
    </row>
    <row r="295" spans="1:9" x14ac:dyDescent="0.3">
      <c r="A295" s="28" t="s">
        <v>386</v>
      </c>
      <c r="B295" s="28"/>
      <c r="C295" s="28"/>
      <c r="D295" s="29">
        <f t="shared" si="9"/>
        <v>0</v>
      </c>
      <c r="E295" s="29"/>
      <c r="F295" s="28"/>
      <c r="G295" s="29">
        <f t="shared" si="8"/>
        <v>0</v>
      </c>
      <c r="H295" s="30"/>
      <c r="I295" s="19">
        <f t="shared" si="10"/>
        <v>0</v>
      </c>
    </row>
    <row r="296" spans="1:9" x14ac:dyDescent="0.3">
      <c r="A296" s="28" t="s">
        <v>387</v>
      </c>
      <c r="B296" s="28"/>
      <c r="C296" s="28"/>
      <c r="D296" s="29">
        <f t="shared" si="9"/>
        <v>0</v>
      </c>
      <c r="E296" s="29"/>
      <c r="F296" s="28"/>
      <c r="G296" s="29">
        <f t="shared" si="8"/>
        <v>0</v>
      </c>
      <c r="H296" s="30"/>
      <c r="I296" s="19">
        <f t="shared" si="10"/>
        <v>0</v>
      </c>
    </row>
    <row r="297" spans="1:9" x14ac:dyDescent="0.3">
      <c r="A297" s="28" t="s">
        <v>388</v>
      </c>
      <c r="B297" s="28"/>
      <c r="C297" s="28"/>
      <c r="D297" s="29">
        <f t="shared" si="9"/>
        <v>0</v>
      </c>
      <c r="E297" s="29"/>
      <c r="F297" s="28"/>
      <c r="G297" s="29">
        <f t="shared" si="8"/>
        <v>0</v>
      </c>
      <c r="H297" s="30"/>
      <c r="I297" s="19">
        <f t="shared" si="10"/>
        <v>0</v>
      </c>
    </row>
    <row r="298" spans="1:9" x14ac:dyDescent="0.3">
      <c r="A298" s="28"/>
      <c r="B298" s="28"/>
      <c r="C298" s="28"/>
      <c r="D298" s="29"/>
      <c r="E298" s="29"/>
      <c r="F298" s="28"/>
      <c r="G298" s="29"/>
      <c r="H298" s="30"/>
      <c r="I298" s="19"/>
    </row>
    <row r="299" spans="1:9" x14ac:dyDescent="0.3">
      <c r="A299" s="24" t="s">
        <v>65</v>
      </c>
      <c r="B299" s="28"/>
      <c r="C299" s="28"/>
      <c r="D299" s="29">
        <f t="shared" si="9"/>
        <v>0</v>
      </c>
      <c r="E299" s="28"/>
      <c r="F299" s="28"/>
      <c r="G299" s="29">
        <f t="shared" si="8"/>
        <v>0</v>
      </c>
      <c r="H299" s="30"/>
      <c r="I299" s="19">
        <f t="shared" si="10"/>
        <v>0</v>
      </c>
    </row>
    <row r="300" spans="1:9" x14ac:dyDescent="0.3">
      <c r="A300" s="28" t="s">
        <v>304</v>
      </c>
      <c r="B300" s="28"/>
      <c r="C300" s="28"/>
      <c r="D300" s="29">
        <f t="shared" si="9"/>
        <v>0</v>
      </c>
      <c r="E300" s="28"/>
      <c r="F300" s="28"/>
      <c r="G300" s="29">
        <f t="shared" si="8"/>
        <v>0</v>
      </c>
      <c r="H300" s="30"/>
      <c r="I300" s="19">
        <f t="shared" si="10"/>
        <v>0</v>
      </c>
    </row>
    <row r="301" spans="1:9" x14ac:dyDescent="0.3">
      <c r="A301" s="28" t="s">
        <v>66</v>
      </c>
      <c r="B301" s="28">
        <v>13</v>
      </c>
      <c r="C301" s="28"/>
      <c r="D301" s="29">
        <f t="shared" si="9"/>
        <v>13</v>
      </c>
      <c r="E301" s="28"/>
      <c r="F301" s="28"/>
      <c r="G301" s="29">
        <f t="shared" si="8"/>
        <v>13</v>
      </c>
      <c r="H301" s="30"/>
      <c r="I301" s="19">
        <f t="shared" si="10"/>
        <v>0</v>
      </c>
    </row>
    <row r="302" spans="1:9" x14ac:dyDescent="0.3">
      <c r="A302" s="28" t="s">
        <v>149</v>
      </c>
      <c r="B302" s="28">
        <v>11</v>
      </c>
      <c r="C302" s="28"/>
      <c r="D302" s="29">
        <f t="shared" si="9"/>
        <v>11</v>
      </c>
      <c r="E302" s="28"/>
      <c r="F302" s="28"/>
      <c r="G302" s="29">
        <f t="shared" si="8"/>
        <v>11</v>
      </c>
      <c r="H302" s="30"/>
      <c r="I302" s="19">
        <f t="shared" si="10"/>
        <v>0</v>
      </c>
    </row>
    <row r="303" spans="1:9" x14ac:dyDescent="0.3">
      <c r="A303" s="28" t="s">
        <v>148</v>
      </c>
      <c r="B303" s="28">
        <v>14</v>
      </c>
      <c r="C303" s="28"/>
      <c r="D303" s="29">
        <f t="shared" si="9"/>
        <v>14</v>
      </c>
      <c r="E303" s="28"/>
      <c r="F303" s="28"/>
      <c r="G303" s="29">
        <f t="shared" si="8"/>
        <v>14</v>
      </c>
      <c r="H303" s="30"/>
      <c r="I303" s="19">
        <f t="shared" si="10"/>
        <v>0</v>
      </c>
    </row>
    <row r="304" spans="1:9" x14ac:dyDescent="0.3">
      <c r="A304" s="28" t="s">
        <v>100</v>
      </c>
      <c r="B304" s="28">
        <v>300</v>
      </c>
      <c r="C304" s="28"/>
      <c r="D304" s="29">
        <f t="shared" si="9"/>
        <v>300</v>
      </c>
      <c r="E304" s="28"/>
      <c r="F304" s="28"/>
      <c r="G304" s="29">
        <f t="shared" si="8"/>
        <v>300</v>
      </c>
      <c r="H304" s="31"/>
      <c r="I304" s="19">
        <f t="shared" si="10"/>
        <v>0</v>
      </c>
    </row>
    <row r="305" spans="1:9" x14ac:dyDescent="0.3">
      <c r="A305" s="28" t="s">
        <v>101</v>
      </c>
      <c r="B305" s="28">
        <v>100</v>
      </c>
      <c r="C305" s="28"/>
      <c r="D305" s="29">
        <f t="shared" si="9"/>
        <v>100</v>
      </c>
      <c r="E305" s="28"/>
      <c r="F305" s="28"/>
      <c r="G305" s="29">
        <f t="shared" si="8"/>
        <v>100</v>
      </c>
      <c r="H305" s="31"/>
      <c r="I305" s="19">
        <f t="shared" si="10"/>
        <v>0</v>
      </c>
    </row>
    <row r="306" spans="1:9" x14ac:dyDescent="0.3">
      <c r="A306" s="28" t="s">
        <v>102</v>
      </c>
      <c r="B306" s="28">
        <v>200</v>
      </c>
      <c r="C306" s="28"/>
      <c r="D306" s="29">
        <f t="shared" si="9"/>
        <v>200</v>
      </c>
      <c r="E306" s="28"/>
      <c r="F306" s="28"/>
      <c r="G306" s="29">
        <f t="shared" si="8"/>
        <v>200</v>
      </c>
      <c r="H306" s="31"/>
      <c r="I306" s="19">
        <f t="shared" si="10"/>
        <v>0</v>
      </c>
    </row>
    <row r="307" spans="1:9" x14ac:dyDescent="0.3">
      <c r="A307" s="28" t="s">
        <v>103</v>
      </c>
      <c r="B307" s="28">
        <v>3</v>
      </c>
      <c r="C307" s="28"/>
      <c r="D307" s="29">
        <f t="shared" si="9"/>
        <v>3</v>
      </c>
      <c r="E307" s="28"/>
      <c r="F307" s="28"/>
      <c r="G307" s="29">
        <f t="shared" si="8"/>
        <v>3</v>
      </c>
      <c r="H307" s="34"/>
      <c r="I307" s="19">
        <f t="shared" si="10"/>
        <v>0</v>
      </c>
    </row>
    <row r="308" spans="1:9" x14ac:dyDescent="0.3">
      <c r="A308" s="28" t="s">
        <v>104</v>
      </c>
      <c r="B308" s="28">
        <v>1</v>
      </c>
      <c r="C308" s="28"/>
      <c r="D308" s="29">
        <f t="shared" si="9"/>
        <v>1</v>
      </c>
      <c r="E308" s="28"/>
      <c r="F308" s="28"/>
      <c r="G308" s="29">
        <f t="shared" si="8"/>
        <v>1</v>
      </c>
      <c r="H308" s="30"/>
      <c r="I308" s="19">
        <f t="shared" si="10"/>
        <v>0</v>
      </c>
    </row>
    <row r="309" spans="1:9" x14ac:dyDescent="0.3">
      <c r="A309" s="28" t="s">
        <v>338</v>
      </c>
      <c r="B309" s="28"/>
      <c r="C309" s="28"/>
      <c r="D309" s="29">
        <f t="shared" si="9"/>
        <v>0</v>
      </c>
      <c r="E309" s="28"/>
      <c r="F309" s="28"/>
      <c r="G309" s="29">
        <f t="shared" si="8"/>
        <v>0</v>
      </c>
      <c r="H309" s="30"/>
      <c r="I309" s="19">
        <f t="shared" si="10"/>
        <v>0</v>
      </c>
    </row>
    <row r="310" spans="1:9" x14ac:dyDescent="0.3">
      <c r="A310" s="28" t="s">
        <v>105</v>
      </c>
      <c r="B310" s="28"/>
      <c r="C310" s="28"/>
      <c r="D310" s="29">
        <f t="shared" si="9"/>
        <v>0</v>
      </c>
      <c r="E310" s="28"/>
      <c r="F310" s="28"/>
      <c r="G310" s="29">
        <f t="shared" si="8"/>
        <v>0</v>
      </c>
      <c r="H310" s="30"/>
      <c r="I310" s="19">
        <f t="shared" si="10"/>
        <v>0</v>
      </c>
    </row>
    <row r="311" spans="1:9" x14ac:dyDescent="0.3">
      <c r="A311" s="28" t="s">
        <v>337</v>
      </c>
      <c r="B311" s="28"/>
      <c r="C311" s="28"/>
      <c r="D311" s="29">
        <f t="shared" si="9"/>
        <v>0</v>
      </c>
      <c r="E311" s="28"/>
      <c r="F311" s="28"/>
      <c r="G311" s="29">
        <f t="shared" si="8"/>
        <v>0</v>
      </c>
      <c r="H311" s="30"/>
      <c r="I311" s="19">
        <f t="shared" si="10"/>
        <v>0</v>
      </c>
    </row>
    <row r="312" spans="1:9" x14ac:dyDescent="0.3">
      <c r="A312" s="28" t="s">
        <v>297</v>
      </c>
      <c r="B312" s="28"/>
      <c r="C312" s="28"/>
      <c r="D312" s="29">
        <f t="shared" si="9"/>
        <v>0</v>
      </c>
      <c r="E312" s="28"/>
      <c r="F312" s="28"/>
      <c r="G312" s="29">
        <f t="shared" si="8"/>
        <v>0</v>
      </c>
      <c r="H312" s="30"/>
      <c r="I312" s="19">
        <f t="shared" si="10"/>
        <v>0</v>
      </c>
    </row>
    <row r="313" spans="1:9" x14ac:dyDescent="0.3">
      <c r="A313" s="28" t="s">
        <v>106</v>
      </c>
      <c r="B313" s="28"/>
      <c r="C313" s="28"/>
      <c r="D313" s="29">
        <f t="shared" si="9"/>
        <v>0</v>
      </c>
      <c r="E313" s="28"/>
      <c r="F313" s="28"/>
      <c r="G313" s="29">
        <f t="shared" si="8"/>
        <v>0</v>
      </c>
      <c r="H313" s="30"/>
      <c r="I313" s="19">
        <f t="shared" si="10"/>
        <v>0</v>
      </c>
    </row>
    <row r="314" spans="1:9" x14ac:dyDescent="0.3">
      <c r="A314" s="28" t="s">
        <v>260</v>
      </c>
      <c r="B314" s="28"/>
      <c r="C314" s="28"/>
      <c r="D314" s="29">
        <f t="shared" si="9"/>
        <v>0</v>
      </c>
      <c r="E314" s="28"/>
      <c r="F314" s="28"/>
      <c r="G314" s="29">
        <f t="shared" si="8"/>
        <v>0</v>
      </c>
      <c r="H314" s="30"/>
      <c r="I314" s="19">
        <f t="shared" si="10"/>
        <v>0</v>
      </c>
    </row>
    <row r="315" spans="1:9" x14ac:dyDescent="0.3">
      <c r="A315" s="28" t="s">
        <v>344</v>
      </c>
      <c r="B315" s="28"/>
      <c r="C315" s="28"/>
      <c r="D315" s="29">
        <f t="shared" si="9"/>
        <v>0</v>
      </c>
      <c r="E315" s="28"/>
      <c r="F315" s="28"/>
      <c r="G315" s="29">
        <f t="shared" si="8"/>
        <v>0</v>
      </c>
      <c r="H315" s="30"/>
      <c r="I315" s="19">
        <f t="shared" si="10"/>
        <v>0</v>
      </c>
    </row>
    <row r="316" spans="1:9" x14ac:dyDescent="0.3">
      <c r="A316" s="28" t="s">
        <v>345</v>
      </c>
      <c r="B316" s="28"/>
      <c r="C316" s="28"/>
      <c r="D316" s="29">
        <f t="shared" si="9"/>
        <v>0</v>
      </c>
      <c r="E316" s="28"/>
      <c r="F316" s="28"/>
      <c r="G316" s="29">
        <f t="shared" si="8"/>
        <v>0</v>
      </c>
      <c r="H316" s="30"/>
      <c r="I316" s="19">
        <f t="shared" si="10"/>
        <v>0</v>
      </c>
    </row>
    <row r="317" spans="1:9" x14ac:dyDescent="0.3">
      <c r="A317" s="28" t="s">
        <v>210</v>
      </c>
      <c r="B317" s="28"/>
      <c r="C317" s="28"/>
      <c r="D317" s="29">
        <f t="shared" si="9"/>
        <v>0</v>
      </c>
      <c r="E317" s="28"/>
      <c r="F317" s="28"/>
      <c r="G317" s="29">
        <f t="shared" si="8"/>
        <v>0</v>
      </c>
      <c r="H317" s="30"/>
      <c r="I317" s="19">
        <f t="shared" si="10"/>
        <v>0</v>
      </c>
    </row>
    <row r="318" spans="1:9" x14ac:dyDescent="0.3">
      <c r="A318" s="28" t="s">
        <v>107</v>
      </c>
      <c r="B318" s="28"/>
      <c r="C318" s="28"/>
      <c r="D318" s="29">
        <f t="shared" si="9"/>
        <v>0</v>
      </c>
      <c r="E318" s="28"/>
      <c r="F318" s="28"/>
      <c r="G318" s="29">
        <f t="shared" si="8"/>
        <v>0</v>
      </c>
      <c r="H318" s="30"/>
      <c r="I318" s="19">
        <f t="shared" si="10"/>
        <v>0</v>
      </c>
    </row>
    <row r="319" spans="1:9" x14ac:dyDescent="0.3">
      <c r="A319" s="28" t="s">
        <v>108</v>
      </c>
      <c r="B319" s="28"/>
      <c r="C319" s="28"/>
      <c r="D319" s="29">
        <f t="shared" si="9"/>
        <v>0</v>
      </c>
      <c r="E319" s="28"/>
      <c r="F319" s="28"/>
      <c r="G319" s="29">
        <f t="shared" si="8"/>
        <v>0</v>
      </c>
      <c r="H319" s="30"/>
      <c r="I319" s="19">
        <f t="shared" si="10"/>
        <v>0</v>
      </c>
    </row>
    <row r="320" spans="1:9" x14ac:dyDescent="0.3">
      <c r="A320" s="28" t="s">
        <v>109</v>
      </c>
      <c r="B320" s="28"/>
      <c r="C320" s="28"/>
      <c r="D320" s="29">
        <f t="shared" ref="D320:D363" si="11">B320+C320</f>
        <v>0</v>
      </c>
      <c r="E320" s="28"/>
      <c r="F320" s="28"/>
      <c r="G320" s="29">
        <f t="shared" si="8"/>
        <v>0</v>
      </c>
      <c r="H320" s="30"/>
      <c r="I320" s="19">
        <f t="shared" si="10"/>
        <v>0</v>
      </c>
    </row>
    <row r="321" spans="1:9" x14ac:dyDescent="0.3">
      <c r="A321" s="28" t="s">
        <v>110</v>
      </c>
      <c r="B321" s="28"/>
      <c r="C321" s="28"/>
      <c r="D321" s="29">
        <f t="shared" si="11"/>
        <v>0</v>
      </c>
      <c r="E321" s="28"/>
      <c r="F321" s="28"/>
      <c r="G321" s="29">
        <f t="shared" si="8"/>
        <v>0</v>
      </c>
      <c r="H321" s="30"/>
      <c r="I321" s="19">
        <f t="shared" si="10"/>
        <v>0</v>
      </c>
    </row>
    <row r="322" spans="1:9" x14ac:dyDescent="0.3">
      <c r="A322" s="28" t="s">
        <v>111</v>
      </c>
      <c r="B322" s="28"/>
      <c r="C322" s="28"/>
      <c r="D322" s="29">
        <f t="shared" si="11"/>
        <v>0</v>
      </c>
      <c r="E322" s="28"/>
      <c r="F322" s="28"/>
      <c r="G322" s="29">
        <f t="shared" si="8"/>
        <v>0</v>
      </c>
      <c r="H322" s="30"/>
      <c r="I322" s="19">
        <f t="shared" si="10"/>
        <v>0</v>
      </c>
    </row>
    <row r="323" spans="1:9" x14ac:dyDescent="0.3">
      <c r="A323" s="28" t="s">
        <v>234</v>
      </c>
      <c r="B323" s="28"/>
      <c r="C323" s="28"/>
      <c r="D323" s="29">
        <f t="shared" si="11"/>
        <v>0</v>
      </c>
      <c r="E323" s="28"/>
      <c r="F323" s="28"/>
      <c r="G323" s="29">
        <f t="shared" si="8"/>
        <v>0</v>
      </c>
      <c r="H323" s="30"/>
      <c r="I323" s="19">
        <f t="shared" si="10"/>
        <v>0</v>
      </c>
    </row>
    <row r="324" spans="1:9" x14ac:dyDescent="0.3">
      <c r="A324" s="28" t="s">
        <v>112</v>
      </c>
      <c r="B324" s="28"/>
      <c r="C324" s="28"/>
      <c r="D324" s="29">
        <f t="shared" si="11"/>
        <v>0</v>
      </c>
      <c r="E324" s="28"/>
      <c r="F324" s="28"/>
      <c r="G324" s="29">
        <f t="shared" si="8"/>
        <v>0</v>
      </c>
      <c r="H324" s="30"/>
      <c r="I324" s="19">
        <f t="shared" si="10"/>
        <v>0</v>
      </c>
    </row>
    <row r="325" spans="1:9" x14ac:dyDescent="0.3">
      <c r="A325" s="28" t="s">
        <v>358</v>
      </c>
      <c r="B325" s="28"/>
      <c r="C325" s="28"/>
      <c r="D325" s="29">
        <f t="shared" si="11"/>
        <v>0</v>
      </c>
      <c r="E325" s="28"/>
      <c r="F325" s="28"/>
      <c r="G325" s="29">
        <f t="shared" si="8"/>
        <v>0</v>
      </c>
      <c r="H325" s="30"/>
      <c r="I325" s="19">
        <f t="shared" si="10"/>
        <v>0</v>
      </c>
    </row>
    <row r="326" spans="1:9" x14ac:dyDescent="0.3">
      <c r="A326" s="28" t="s">
        <v>298</v>
      </c>
      <c r="B326" s="28"/>
      <c r="C326" s="28"/>
      <c r="D326" s="29">
        <f t="shared" si="11"/>
        <v>0</v>
      </c>
      <c r="E326" s="28"/>
      <c r="F326" s="28"/>
      <c r="G326" s="29">
        <f t="shared" si="8"/>
        <v>0</v>
      </c>
      <c r="H326" s="30"/>
      <c r="I326" s="19">
        <f t="shared" si="10"/>
        <v>0</v>
      </c>
    </row>
    <row r="327" spans="1:9" x14ac:dyDescent="0.3">
      <c r="A327" s="28" t="s">
        <v>114</v>
      </c>
      <c r="B327" s="28"/>
      <c r="C327" s="28"/>
      <c r="D327" s="29">
        <f t="shared" si="11"/>
        <v>0</v>
      </c>
      <c r="E327" s="28"/>
      <c r="F327" s="28"/>
      <c r="G327" s="29">
        <f t="shared" ref="G327:G363" si="12">D327-E327-F327</f>
        <v>0</v>
      </c>
      <c r="H327" s="30"/>
      <c r="I327" s="19">
        <f t="shared" si="10"/>
        <v>0</v>
      </c>
    </row>
    <row r="328" spans="1:9" x14ac:dyDescent="0.3">
      <c r="A328" s="28" t="s">
        <v>116</v>
      </c>
      <c r="B328" s="28"/>
      <c r="C328" s="28"/>
      <c r="D328" s="29">
        <f t="shared" si="11"/>
        <v>0</v>
      </c>
      <c r="E328" s="28"/>
      <c r="F328" s="28"/>
      <c r="G328" s="29">
        <f t="shared" si="12"/>
        <v>0</v>
      </c>
      <c r="H328" s="30"/>
      <c r="I328" s="19">
        <f t="shared" si="10"/>
        <v>0</v>
      </c>
    </row>
    <row r="329" spans="1:9" x14ac:dyDescent="0.3">
      <c r="A329" s="28" t="s">
        <v>119</v>
      </c>
      <c r="B329" s="28"/>
      <c r="C329" s="28"/>
      <c r="D329" s="29">
        <f t="shared" si="11"/>
        <v>0</v>
      </c>
      <c r="E329" s="28"/>
      <c r="F329" s="28"/>
      <c r="G329" s="29">
        <f t="shared" si="12"/>
        <v>0</v>
      </c>
      <c r="H329" s="30"/>
      <c r="I329" s="19">
        <f t="shared" si="10"/>
        <v>0</v>
      </c>
    </row>
    <row r="330" spans="1:9" x14ac:dyDescent="0.3">
      <c r="A330" s="28" t="s">
        <v>120</v>
      </c>
      <c r="B330" s="28"/>
      <c r="C330" s="28"/>
      <c r="D330" s="29">
        <f t="shared" si="11"/>
        <v>0</v>
      </c>
      <c r="E330" s="28"/>
      <c r="F330" s="28"/>
      <c r="G330" s="29">
        <f t="shared" si="12"/>
        <v>0</v>
      </c>
      <c r="H330" s="30"/>
      <c r="I330" s="19">
        <f t="shared" si="10"/>
        <v>0</v>
      </c>
    </row>
    <row r="331" spans="1:9" x14ac:dyDescent="0.3">
      <c r="A331" s="28" t="s">
        <v>308</v>
      </c>
      <c r="B331" s="28"/>
      <c r="C331" s="28"/>
      <c r="D331" s="29">
        <f t="shared" si="11"/>
        <v>0</v>
      </c>
      <c r="E331" s="28"/>
      <c r="F331" s="28"/>
      <c r="G331" s="29">
        <f t="shared" si="12"/>
        <v>0</v>
      </c>
      <c r="H331" s="30"/>
      <c r="I331" s="19">
        <f t="shared" si="10"/>
        <v>0</v>
      </c>
    </row>
    <row r="332" spans="1:9" x14ac:dyDescent="0.3">
      <c r="A332" s="28" t="s">
        <v>309</v>
      </c>
      <c r="B332" s="28"/>
      <c r="C332" s="28"/>
      <c r="D332" s="29">
        <f t="shared" si="11"/>
        <v>0</v>
      </c>
      <c r="E332" s="28"/>
      <c r="F332" s="28"/>
      <c r="G332" s="29">
        <f t="shared" si="12"/>
        <v>0</v>
      </c>
      <c r="H332" s="30"/>
      <c r="I332" s="19">
        <f t="shared" si="10"/>
        <v>0</v>
      </c>
    </row>
    <row r="333" spans="1:9" x14ac:dyDescent="0.3">
      <c r="A333" s="28" t="s">
        <v>317</v>
      </c>
      <c r="B333" s="28"/>
      <c r="C333" s="28"/>
      <c r="D333" s="29">
        <f t="shared" si="11"/>
        <v>0</v>
      </c>
      <c r="E333" s="28"/>
      <c r="F333" s="28"/>
      <c r="G333" s="29">
        <f t="shared" si="12"/>
        <v>0</v>
      </c>
      <c r="H333" s="30"/>
      <c r="I333" s="19">
        <f t="shared" si="10"/>
        <v>0</v>
      </c>
    </row>
    <row r="334" spans="1:9" x14ac:dyDescent="0.3">
      <c r="A334" s="28" t="s">
        <v>318</v>
      </c>
      <c r="B334" s="28"/>
      <c r="C334" s="28"/>
      <c r="D334" s="29">
        <f t="shared" si="11"/>
        <v>0</v>
      </c>
      <c r="E334" s="28"/>
      <c r="F334" s="28"/>
      <c r="G334" s="29">
        <f t="shared" si="12"/>
        <v>0</v>
      </c>
      <c r="H334" s="30"/>
      <c r="I334" s="19">
        <f t="shared" si="10"/>
        <v>0</v>
      </c>
    </row>
    <row r="335" spans="1:9" x14ac:dyDescent="0.3">
      <c r="A335" s="28" t="s">
        <v>121</v>
      </c>
      <c r="B335" s="28"/>
      <c r="C335" s="28"/>
      <c r="D335" s="29">
        <f t="shared" si="11"/>
        <v>0</v>
      </c>
      <c r="E335" s="28"/>
      <c r="F335" s="28"/>
      <c r="G335" s="29">
        <f t="shared" si="12"/>
        <v>0</v>
      </c>
      <c r="H335" s="30"/>
      <c r="I335" s="19">
        <f t="shared" si="10"/>
        <v>0</v>
      </c>
    </row>
    <row r="336" spans="1:9" x14ac:dyDescent="0.3">
      <c r="A336" s="28" t="s">
        <v>133</v>
      </c>
      <c r="B336" s="28"/>
      <c r="C336" s="28"/>
      <c r="D336" s="29">
        <f t="shared" si="11"/>
        <v>0</v>
      </c>
      <c r="E336" s="28"/>
      <c r="F336" s="28"/>
      <c r="G336" s="29">
        <f t="shared" si="12"/>
        <v>0</v>
      </c>
      <c r="H336" s="30"/>
      <c r="I336" s="19">
        <f t="shared" si="10"/>
        <v>0</v>
      </c>
    </row>
    <row r="337" spans="1:9" x14ac:dyDescent="0.3">
      <c r="A337" s="28" t="s">
        <v>138</v>
      </c>
      <c r="B337" s="28"/>
      <c r="C337" s="28"/>
      <c r="D337" s="29">
        <f t="shared" si="11"/>
        <v>0</v>
      </c>
      <c r="E337" s="28"/>
      <c r="F337" s="28"/>
      <c r="G337" s="29">
        <f t="shared" si="12"/>
        <v>0</v>
      </c>
      <c r="H337" s="30"/>
      <c r="I337" s="19">
        <f t="shared" si="10"/>
        <v>0</v>
      </c>
    </row>
    <row r="338" spans="1:9" x14ac:dyDescent="0.3">
      <c r="A338" s="28" t="s">
        <v>139</v>
      </c>
      <c r="B338" s="28"/>
      <c r="C338" s="28"/>
      <c r="D338" s="29">
        <f t="shared" si="11"/>
        <v>0</v>
      </c>
      <c r="E338" s="28"/>
      <c r="F338" s="28"/>
      <c r="G338" s="29">
        <f t="shared" si="12"/>
        <v>0</v>
      </c>
      <c r="H338" s="30"/>
      <c r="I338" s="19">
        <f t="shared" si="10"/>
        <v>0</v>
      </c>
    </row>
    <row r="339" spans="1:9" x14ac:dyDescent="0.3">
      <c r="A339" s="28" t="s">
        <v>146</v>
      </c>
      <c r="B339" s="28"/>
      <c r="C339" s="28"/>
      <c r="D339" s="29">
        <f t="shared" si="11"/>
        <v>0</v>
      </c>
      <c r="E339" s="28"/>
      <c r="F339" s="28"/>
      <c r="G339" s="29">
        <f t="shared" si="12"/>
        <v>0</v>
      </c>
      <c r="H339" s="30"/>
      <c r="I339" s="19">
        <f t="shared" si="10"/>
        <v>0</v>
      </c>
    </row>
    <row r="340" spans="1:9" x14ac:dyDescent="0.3">
      <c r="A340" s="28" t="s">
        <v>253</v>
      </c>
      <c r="B340" s="28"/>
      <c r="C340" s="28"/>
      <c r="D340" s="29">
        <f t="shared" si="11"/>
        <v>0</v>
      </c>
      <c r="E340" s="28"/>
      <c r="F340" s="28"/>
      <c r="G340" s="29">
        <f t="shared" si="12"/>
        <v>0</v>
      </c>
      <c r="H340" s="30"/>
      <c r="I340" s="19">
        <f t="shared" si="10"/>
        <v>0</v>
      </c>
    </row>
    <row r="341" spans="1:9" x14ac:dyDescent="0.3">
      <c r="A341" s="28" t="s">
        <v>262</v>
      </c>
      <c r="B341" s="28"/>
      <c r="C341" s="28"/>
      <c r="D341" s="29">
        <f t="shared" si="11"/>
        <v>0</v>
      </c>
      <c r="E341" s="28"/>
      <c r="F341" s="28"/>
      <c r="G341" s="29">
        <f t="shared" si="12"/>
        <v>0</v>
      </c>
      <c r="H341" s="30"/>
      <c r="I341" s="19">
        <f t="shared" si="10"/>
        <v>0</v>
      </c>
    </row>
    <row r="342" spans="1:9" x14ac:dyDescent="0.3">
      <c r="A342" s="28" t="s">
        <v>140</v>
      </c>
      <c r="B342" s="28"/>
      <c r="C342" s="28"/>
      <c r="D342" s="29">
        <f t="shared" si="11"/>
        <v>0</v>
      </c>
      <c r="E342" s="28"/>
      <c r="F342" s="28"/>
      <c r="G342" s="29">
        <f t="shared" si="12"/>
        <v>0</v>
      </c>
      <c r="H342" s="30"/>
      <c r="I342" s="19">
        <f t="shared" si="10"/>
        <v>0</v>
      </c>
    </row>
    <row r="343" spans="1:9" x14ac:dyDescent="0.3">
      <c r="A343" s="28" t="s">
        <v>147</v>
      </c>
      <c r="B343" s="28">
        <v>2</v>
      </c>
      <c r="C343" s="28"/>
      <c r="D343" s="29">
        <f t="shared" si="11"/>
        <v>2</v>
      </c>
      <c r="E343" s="28"/>
      <c r="F343" s="28"/>
      <c r="G343" s="29">
        <f t="shared" si="12"/>
        <v>2</v>
      </c>
      <c r="H343" s="30"/>
      <c r="I343" s="19">
        <f t="shared" si="10"/>
        <v>0</v>
      </c>
    </row>
    <row r="344" spans="1:9" x14ac:dyDescent="0.3">
      <c r="A344" s="28" t="s">
        <v>237</v>
      </c>
      <c r="B344" s="28"/>
      <c r="C344" s="28"/>
      <c r="D344" s="29">
        <f t="shared" si="11"/>
        <v>0</v>
      </c>
      <c r="E344" s="28"/>
      <c r="F344" s="28"/>
      <c r="G344" s="29">
        <f t="shared" si="12"/>
        <v>0</v>
      </c>
      <c r="H344" s="30"/>
      <c r="I344" s="19">
        <f t="shared" si="10"/>
        <v>0</v>
      </c>
    </row>
    <row r="345" spans="1:9" x14ac:dyDescent="0.3">
      <c r="A345" s="28" t="s">
        <v>144</v>
      </c>
      <c r="B345" s="28"/>
      <c r="C345" s="28"/>
      <c r="D345" s="29">
        <f t="shared" si="11"/>
        <v>0</v>
      </c>
      <c r="E345" s="28"/>
      <c r="F345" s="28"/>
      <c r="G345" s="29">
        <f t="shared" si="12"/>
        <v>0</v>
      </c>
      <c r="H345" s="30"/>
      <c r="I345" s="19">
        <f t="shared" si="10"/>
        <v>0</v>
      </c>
    </row>
    <row r="346" spans="1:9" x14ac:dyDescent="0.3">
      <c r="A346" s="28" t="s">
        <v>145</v>
      </c>
      <c r="B346" s="28"/>
      <c r="C346" s="28"/>
      <c r="D346" s="29">
        <f t="shared" si="11"/>
        <v>0</v>
      </c>
      <c r="E346" s="28"/>
      <c r="F346" s="28"/>
      <c r="G346" s="29">
        <f t="shared" si="12"/>
        <v>0</v>
      </c>
      <c r="H346" s="30"/>
      <c r="I346" s="19">
        <f t="shared" si="10"/>
        <v>0</v>
      </c>
    </row>
    <row r="347" spans="1:9" x14ac:dyDescent="0.3">
      <c r="A347" s="28" t="s">
        <v>228</v>
      </c>
      <c r="B347" s="28">
        <v>50</v>
      </c>
      <c r="C347" s="28"/>
      <c r="D347" s="29">
        <f t="shared" si="11"/>
        <v>50</v>
      </c>
      <c r="E347" s="28"/>
      <c r="F347" s="28"/>
      <c r="G347" s="29">
        <f t="shared" si="12"/>
        <v>50</v>
      </c>
      <c r="H347" s="30"/>
      <c r="I347" s="19">
        <f t="shared" si="10"/>
        <v>0</v>
      </c>
    </row>
    <row r="348" spans="1:9" x14ac:dyDescent="0.3">
      <c r="A348" s="28" t="s">
        <v>340</v>
      </c>
      <c r="B348" s="28"/>
      <c r="C348" s="28"/>
      <c r="D348" s="29">
        <f t="shared" si="11"/>
        <v>0</v>
      </c>
      <c r="E348" s="28"/>
      <c r="F348" s="28"/>
      <c r="G348" s="29">
        <f t="shared" si="12"/>
        <v>0</v>
      </c>
      <c r="H348" s="30"/>
      <c r="I348" s="19">
        <f t="shared" si="10"/>
        <v>0</v>
      </c>
    </row>
    <row r="349" spans="1:9" x14ac:dyDescent="0.3">
      <c r="A349" s="28" t="s">
        <v>341</v>
      </c>
      <c r="B349" s="28"/>
      <c r="C349" s="28"/>
      <c r="D349" s="29">
        <f t="shared" si="11"/>
        <v>0</v>
      </c>
      <c r="E349" s="28"/>
      <c r="F349" s="28"/>
      <c r="G349" s="29">
        <f t="shared" si="12"/>
        <v>0</v>
      </c>
      <c r="H349" s="30"/>
      <c r="I349" s="19">
        <f t="shared" si="10"/>
        <v>0</v>
      </c>
    </row>
    <row r="350" spans="1:9" x14ac:dyDescent="0.3">
      <c r="A350" s="28" t="s">
        <v>209</v>
      </c>
      <c r="B350" s="28"/>
      <c r="C350" s="28"/>
      <c r="D350" s="29">
        <f t="shared" si="11"/>
        <v>0</v>
      </c>
      <c r="E350" s="28"/>
      <c r="F350" s="28"/>
      <c r="G350" s="29">
        <f t="shared" si="12"/>
        <v>0</v>
      </c>
      <c r="H350" s="30"/>
      <c r="I350" s="19">
        <f t="shared" si="10"/>
        <v>0</v>
      </c>
    </row>
    <row r="351" spans="1:9" x14ac:dyDescent="0.3">
      <c r="A351" s="28" t="s">
        <v>261</v>
      </c>
      <c r="B351" s="28"/>
      <c r="C351" s="28"/>
      <c r="D351" s="29">
        <f t="shared" si="11"/>
        <v>0</v>
      </c>
      <c r="E351" s="28"/>
      <c r="F351" s="28"/>
      <c r="G351" s="29">
        <f t="shared" si="12"/>
        <v>0</v>
      </c>
      <c r="H351" s="30"/>
      <c r="I351" s="19">
        <f t="shared" si="10"/>
        <v>0</v>
      </c>
    </row>
    <row r="352" spans="1:9" x14ac:dyDescent="0.3">
      <c r="A352" s="28" t="s">
        <v>244</v>
      </c>
      <c r="B352" s="28"/>
      <c r="C352" s="28"/>
      <c r="D352" s="29">
        <f t="shared" si="11"/>
        <v>0</v>
      </c>
      <c r="E352" s="28"/>
      <c r="F352" s="28"/>
      <c r="G352" s="29">
        <f t="shared" si="12"/>
        <v>0</v>
      </c>
      <c r="H352" s="30"/>
      <c r="I352" s="19">
        <f t="shared" si="10"/>
        <v>0</v>
      </c>
    </row>
    <row r="353" spans="1:9" x14ac:dyDescent="0.3">
      <c r="A353" s="28" t="s">
        <v>281</v>
      </c>
      <c r="B353" s="28"/>
      <c r="C353" s="28"/>
      <c r="D353" s="29">
        <f t="shared" si="11"/>
        <v>0</v>
      </c>
      <c r="E353" s="28"/>
      <c r="F353" s="28"/>
      <c r="G353" s="29">
        <f t="shared" si="12"/>
        <v>0</v>
      </c>
      <c r="H353" s="30"/>
      <c r="I353" s="19">
        <f t="shared" si="10"/>
        <v>0</v>
      </c>
    </row>
    <row r="354" spans="1:9" x14ac:dyDescent="0.3">
      <c r="A354" s="28" t="s">
        <v>231</v>
      </c>
      <c r="B354" s="28"/>
      <c r="C354" s="28"/>
      <c r="D354" s="29">
        <f t="shared" si="11"/>
        <v>0</v>
      </c>
      <c r="E354" s="28"/>
      <c r="F354" s="28"/>
      <c r="G354" s="29">
        <f t="shared" si="12"/>
        <v>0</v>
      </c>
      <c r="H354" s="30"/>
      <c r="I354" s="19">
        <f t="shared" si="10"/>
        <v>0</v>
      </c>
    </row>
    <row r="355" spans="1:9" x14ac:dyDescent="0.3">
      <c r="A355" s="28" t="s">
        <v>232</v>
      </c>
      <c r="B355" s="28"/>
      <c r="C355" s="28"/>
      <c r="D355" s="29">
        <f t="shared" si="11"/>
        <v>0</v>
      </c>
      <c r="E355" s="28"/>
      <c r="F355" s="28"/>
      <c r="G355" s="29">
        <f t="shared" si="12"/>
        <v>0</v>
      </c>
      <c r="H355" s="30"/>
      <c r="I355" s="19">
        <f t="shared" si="10"/>
        <v>0</v>
      </c>
    </row>
    <row r="356" spans="1:9" x14ac:dyDescent="0.3">
      <c r="A356" s="28" t="s">
        <v>227</v>
      </c>
      <c r="B356" s="28"/>
      <c r="C356" s="28"/>
      <c r="D356" s="29">
        <f t="shared" si="11"/>
        <v>0</v>
      </c>
      <c r="E356" s="28"/>
      <c r="F356" s="28"/>
      <c r="G356" s="29">
        <f t="shared" si="12"/>
        <v>0</v>
      </c>
      <c r="H356" s="30"/>
      <c r="I356" s="19">
        <f t="shared" si="10"/>
        <v>0</v>
      </c>
    </row>
    <row r="357" spans="1:9" x14ac:dyDescent="0.3">
      <c r="A357" s="28" t="s">
        <v>277</v>
      </c>
      <c r="B357" s="28"/>
      <c r="C357" s="28"/>
      <c r="D357" s="29">
        <f t="shared" si="11"/>
        <v>0</v>
      </c>
      <c r="E357" s="28"/>
      <c r="F357" s="28"/>
      <c r="G357" s="29">
        <f t="shared" si="12"/>
        <v>0</v>
      </c>
      <c r="H357" s="30"/>
      <c r="I357" s="19">
        <f t="shared" si="10"/>
        <v>0</v>
      </c>
    </row>
    <row r="358" spans="1:9" x14ac:dyDescent="0.3">
      <c r="A358" s="28" t="s">
        <v>236</v>
      </c>
      <c r="B358" s="28"/>
      <c r="C358" s="28"/>
      <c r="D358" s="29">
        <f t="shared" si="11"/>
        <v>0</v>
      </c>
      <c r="E358" s="28"/>
      <c r="F358" s="28"/>
      <c r="G358" s="29">
        <f t="shared" si="12"/>
        <v>0</v>
      </c>
      <c r="H358" s="30"/>
      <c r="I358" s="19">
        <f t="shared" si="10"/>
        <v>0</v>
      </c>
    </row>
    <row r="359" spans="1:9" x14ac:dyDescent="0.3">
      <c r="A359" s="28" t="s">
        <v>322</v>
      </c>
      <c r="B359" s="28"/>
      <c r="C359" s="28"/>
      <c r="D359" s="29">
        <f t="shared" si="11"/>
        <v>0</v>
      </c>
      <c r="E359" s="28"/>
      <c r="F359" s="28"/>
      <c r="G359" s="29">
        <f t="shared" si="12"/>
        <v>0</v>
      </c>
      <c r="H359" s="30"/>
      <c r="I359" s="19">
        <f t="shared" si="10"/>
        <v>0</v>
      </c>
    </row>
    <row r="360" spans="1:9" x14ac:dyDescent="0.3">
      <c r="A360" s="28" t="s">
        <v>335</v>
      </c>
      <c r="B360" s="28"/>
      <c r="C360" s="28"/>
      <c r="D360" s="29">
        <f t="shared" si="11"/>
        <v>0</v>
      </c>
      <c r="E360" s="28"/>
      <c r="F360" s="28"/>
      <c r="G360" s="29">
        <f t="shared" si="12"/>
        <v>0</v>
      </c>
      <c r="H360" s="30"/>
      <c r="I360" s="19">
        <f t="shared" si="10"/>
        <v>0</v>
      </c>
    </row>
    <row r="361" spans="1:9" x14ac:dyDescent="0.3">
      <c r="A361" s="28" t="s">
        <v>299</v>
      </c>
      <c r="B361" s="28"/>
      <c r="C361" s="28"/>
      <c r="D361" s="29">
        <f t="shared" si="11"/>
        <v>0</v>
      </c>
      <c r="E361" s="28"/>
      <c r="F361" s="28"/>
      <c r="G361" s="29">
        <f t="shared" si="12"/>
        <v>0</v>
      </c>
      <c r="H361" s="30"/>
      <c r="I361" s="19">
        <f t="shared" si="10"/>
        <v>0</v>
      </c>
    </row>
    <row r="362" spans="1:9" x14ac:dyDescent="0.3">
      <c r="A362" s="28" t="s">
        <v>226</v>
      </c>
      <c r="B362" s="28"/>
      <c r="C362" s="28"/>
      <c r="D362" s="29">
        <f t="shared" si="11"/>
        <v>0</v>
      </c>
      <c r="E362" s="28"/>
      <c r="F362" s="28"/>
      <c r="G362" s="29">
        <f t="shared" si="12"/>
        <v>0</v>
      </c>
      <c r="H362" s="30"/>
      <c r="I362" s="19">
        <f t="shared" si="10"/>
        <v>0</v>
      </c>
    </row>
    <row r="363" spans="1:9" x14ac:dyDescent="0.3">
      <c r="A363" s="28" t="s">
        <v>271</v>
      </c>
      <c r="B363" s="28"/>
      <c r="D363" s="29">
        <f t="shared" si="11"/>
        <v>0</v>
      </c>
      <c r="E363" s="28"/>
      <c r="F363" s="28"/>
      <c r="G363" s="29">
        <f t="shared" si="12"/>
        <v>0</v>
      </c>
      <c r="H363" s="30"/>
      <c r="I363" s="19">
        <f t="shared" si="10"/>
        <v>0</v>
      </c>
    </row>
    <row r="364" spans="1:9" x14ac:dyDescent="0.3">
      <c r="I364" s="39">
        <f>SUM(I6:I363)</f>
        <v>0</v>
      </c>
    </row>
  </sheetData>
  <sortState xmlns:xlrd2="http://schemas.microsoft.com/office/spreadsheetml/2017/richdata2" ref="A1:E26">
    <sortCondition ref="B1:B26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380"/>
  <sheetViews>
    <sheetView topLeftCell="A67" workbookViewId="0">
      <selection activeCell="H95" sqref="H95"/>
    </sheetView>
  </sheetViews>
  <sheetFormatPr defaultColWidth="8.6640625" defaultRowHeight="13.8" x14ac:dyDescent="0.3"/>
  <cols>
    <col min="1" max="1" width="21.44140625" style="17" customWidth="1"/>
    <col min="2" max="2" width="7.44140625" style="17" customWidth="1"/>
    <col min="3" max="3" width="8.6640625" style="17" customWidth="1"/>
    <col min="4" max="4" width="8.33203125" style="17" customWidth="1"/>
    <col min="5" max="5" width="5.44140625" style="17" customWidth="1"/>
    <col min="6" max="6" width="7.44140625" style="17" customWidth="1"/>
    <col min="7" max="7" width="8" style="17" customWidth="1"/>
    <col min="8" max="8" width="10.44140625" style="18" customWidth="1"/>
    <col min="9" max="9" width="12.6640625" style="17" customWidth="1"/>
    <col min="10" max="16384" width="8.6640625" style="17"/>
  </cols>
  <sheetData>
    <row r="1" spans="1:9" x14ac:dyDescent="0.3">
      <c r="A1" s="19" t="s">
        <v>423</v>
      </c>
      <c r="B1" s="19"/>
      <c r="C1" s="48"/>
      <c r="D1" s="19"/>
      <c r="E1" s="19"/>
      <c r="F1" s="19"/>
      <c r="G1" s="19"/>
      <c r="H1" s="20"/>
      <c r="I1" s="19"/>
    </row>
    <row r="2" spans="1:9" x14ac:dyDescent="0.3">
      <c r="A2" s="21" t="s">
        <v>422</v>
      </c>
      <c r="B2" s="21"/>
      <c r="C2" s="49"/>
      <c r="D2" s="21"/>
      <c r="E2" s="21"/>
      <c r="F2" s="21"/>
      <c r="G2" s="21"/>
      <c r="H2" s="22"/>
      <c r="I2" s="23"/>
    </row>
    <row r="3" spans="1:9" ht="50.4" x14ac:dyDescent="0.3">
      <c r="A3" s="24"/>
      <c r="B3" s="25"/>
      <c r="C3" s="25"/>
      <c r="D3" s="25"/>
      <c r="E3" s="25"/>
      <c r="F3" s="25"/>
      <c r="G3" s="25" t="s">
        <v>0</v>
      </c>
      <c r="H3" s="26" t="s">
        <v>1</v>
      </c>
      <c r="I3" s="27" t="s">
        <v>2</v>
      </c>
    </row>
    <row r="4" spans="1:9" x14ac:dyDescent="0.3">
      <c r="A4" s="24" t="s">
        <v>4</v>
      </c>
      <c r="B4" s="25"/>
      <c r="C4" s="25"/>
      <c r="D4" s="25"/>
      <c r="E4" s="25"/>
      <c r="F4" s="25"/>
      <c r="G4" s="25"/>
      <c r="H4" s="26"/>
      <c r="I4" s="27"/>
    </row>
    <row r="5" spans="1:9" x14ac:dyDescent="0.3">
      <c r="A5" s="28" t="s">
        <v>333</v>
      </c>
      <c r="B5" s="29">
        <v>50</v>
      </c>
      <c r="C5" s="28">
        <v>30</v>
      </c>
      <c r="D5" s="29">
        <f>B5+C5</f>
        <v>80</v>
      </c>
      <c r="E5" s="25"/>
      <c r="F5" s="29">
        <v>70</v>
      </c>
      <c r="G5" s="29">
        <f>D5-E5-F5</f>
        <v>10</v>
      </c>
      <c r="H5" s="29">
        <v>30</v>
      </c>
      <c r="I5" s="19">
        <f>G5*H5</f>
        <v>300</v>
      </c>
    </row>
    <row r="6" spans="1:9" x14ac:dyDescent="0.3">
      <c r="A6" s="28" t="s">
        <v>5</v>
      </c>
      <c r="B6" s="29"/>
      <c r="C6" s="28"/>
      <c r="D6" s="29">
        <f>B6+C6</f>
        <v>0</v>
      </c>
      <c r="E6" s="28"/>
      <c r="F6" s="29"/>
      <c r="G6" s="29">
        <f>D6-E6-F6</f>
        <v>0</v>
      </c>
      <c r="H6" s="30">
        <v>30</v>
      </c>
      <c r="I6" s="19">
        <f>G6*H6</f>
        <v>0</v>
      </c>
    </row>
    <row r="7" spans="1:9" x14ac:dyDescent="0.3">
      <c r="A7" s="28" t="s">
        <v>362</v>
      </c>
      <c r="B7" s="28">
        <v>3500</v>
      </c>
      <c r="C7" s="28">
        <v>2000</v>
      </c>
      <c r="D7" s="29">
        <f t="shared" ref="D7:D96" si="0">B7+C7</f>
        <v>5500</v>
      </c>
      <c r="E7" s="28"/>
      <c r="F7" s="28">
        <v>3000</v>
      </c>
      <c r="G7" s="29">
        <f t="shared" ref="G7:G131" si="1">D7-E7-F7</f>
        <v>2500</v>
      </c>
      <c r="H7" s="30">
        <v>30</v>
      </c>
      <c r="I7" s="19">
        <f t="shared" ref="I7:I133" si="2">G7*H7</f>
        <v>75000</v>
      </c>
    </row>
    <row r="8" spans="1:9" x14ac:dyDescent="0.3">
      <c r="A8" s="28" t="s">
        <v>305</v>
      </c>
      <c r="B8" s="28">
        <v>19</v>
      </c>
      <c r="C8" s="28"/>
      <c r="D8" s="29">
        <f t="shared" si="0"/>
        <v>19</v>
      </c>
      <c r="E8" s="28"/>
      <c r="F8" s="28">
        <v>10</v>
      </c>
      <c r="G8" s="29">
        <f t="shared" si="1"/>
        <v>9</v>
      </c>
      <c r="H8" s="30">
        <v>300</v>
      </c>
      <c r="I8" s="19">
        <f t="shared" si="2"/>
        <v>2700</v>
      </c>
    </row>
    <row r="9" spans="1:9" x14ac:dyDescent="0.3">
      <c r="A9" s="28" t="s">
        <v>6</v>
      </c>
      <c r="B9" s="28"/>
      <c r="C9" s="28"/>
      <c r="D9" s="29">
        <f t="shared" si="0"/>
        <v>0</v>
      </c>
      <c r="E9" s="28"/>
      <c r="F9" s="28"/>
      <c r="G9" s="29">
        <f t="shared" si="1"/>
        <v>0</v>
      </c>
      <c r="H9" s="30">
        <v>30</v>
      </c>
      <c r="I9" s="19">
        <f t="shared" si="2"/>
        <v>0</v>
      </c>
    </row>
    <row r="10" spans="1:9" x14ac:dyDescent="0.3">
      <c r="A10" s="28" t="s">
        <v>7</v>
      </c>
      <c r="B10" s="28">
        <v>25</v>
      </c>
      <c r="C10" s="28"/>
      <c r="D10" s="29">
        <f t="shared" si="0"/>
        <v>25</v>
      </c>
      <c r="E10" s="28"/>
      <c r="F10" s="28">
        <v>20</v>
      </c>
      <c r="G10" s="29">
        <f t="shared" si="1"/>
        <v>5</v>
      </c>
      <c r="H10" s="30">
        <v>20</v>
      </c>
      <c r="I10" s="19">
        <f t="shared" si="2"/>
        <v>100</v>
      </c>
    </row>
    <row r="11" spans="1:9" x14ac:dyDescent="0.3">
      <c r="A11" s="28" t="s">
        <v>92</v>
      </c>
      <c r="B11" s="28">
        <v>4</v>
      </c>
      <c r="C11" s="28">
        <v>10</v>
      </c>
      <c r="D11" s="29">
        <f t="shared" si="0"/>
        <v>14</v>
      </c>
      <c r="E11" s="28"/>
      <c r="F11" s="28">
        <v>7</v>
      </c>
      <c r="G11" s="29">
        <f t="shared" si="1"/>
        <v>7</v>
      </c>
      <c r="H11" s="30">
        <v>500</v>
      </c>
      <c r="I11" s="19">
        <f t="shared" si="2"/>
        <v>3500</v>
      </c>
    </row>
    <row r="12" spans="1:9" x14ac:dyDescent="0.3">
      <c r="A12" s="28" t="s">
        <v>181</v>
      </c>
      <c r="B12" s="28"/>
      <c r="C12" s="28"/>
      <c r="D12" s="29">
        <f t="shared" si="0"/>
        <v>0</v>
      </c>
      <c r="E12" s="28"/>
      <c r="F12" s="28"/>
      <c r="G12" s="29">
        <f t="shared" si="1"/>
        <v>0</v>
      </c>
      <c r="H12" s="30">
        <v>10</v>
      </c>
      <c r="I12" s="19">
        <f t="shared" si="2"/>
        <v>0</v>
      </c>
    </row>
    <row r="13" spans="1:9" x14ac:dyDescent="0.3">
      <c r="A13" s="28" t="s">
        <v>276</v>
      </c>
      <c r="B13" s="28">
        <v>6500</v>
      </c>
      <c r="C13" s="28">
        <v>4000</v>
      </c>
      <c r="D13" s="29">
        <f t="shared" si="0"/>
        <v>10500</v>
      </c>
      <c r="E13" s="28"/>
      <c r="F13" s="28">
        <v>8000</v>
      </c>
      <c r="G13" s="29">
        <f t="shared" si="1"/>
        <v>2500</v>
      </c>
      <c r="H13" s="30">
        <v>20</v>
      </c>
      <c r="I13" s="19">
        <f t="shared" si="2"/>
        <v>50000</v>
      </c>
    </row>
    <row r="14" spans="1:9" x14ac:dyDescent="0.3">
      <c r="A14" s="28" t="s">
        <v>207</v>
      </c>
      <c r="B14" s="28">
        <v>5</v>
      </c>
      <c r="C14" s="28">
        <v>20</v>
      </c>
      <c r="D14" s="29">
        <f t="shared" si="0"/>
        <v>25</v>
      </c>
      <c r="E14" s="28"/>
      <c r="F14" s="28">
        <v>13</v>
      </c>
      <c r="G14" s="29">
        <f t="shared" si="1"/>
        <v>12</v>
      </c>
      <c r="H14" s="30">
        <v>1500</v>
      </c>
      <c r="I14" s="19">
        <f t="shared" si="2"/>
        <v>18000</v>
      </c>
    </row>
    <row r="15" spans="1:9" x14ac:dyDescent="0.3">
      <c r="A15" s="28" t="s">
        <v>179</v>
      </c>
      <c r="B15" s="28">
        <v>130</v>
      </c>
      <c r="C15" s="28"/>
      <c r="D15" s="29">
        <f t="shared" si="0"/>
        <v>130</v>
      </c>
      <c r="E15" s="28"/>
      <c r="F15" s="28">
        <v>100</v>
      </c>
      <c r="G15" s="29">
        <f t="shared" si="1"/>
        <v>30</v>
      </c>
      <c r="H15" s="30">
        <v>100</v>
      </c>
      <c r="I15" s="19">
        <f t="shared" si="2"/>
        <v>3000</v>
      </c>
    </row>
    <row r="16" spans="1:9" x14ac:dyDescent="0.3">
      <c r="A16" s="28" t="s">
        <v>306</v>
      </c>
      <c r="B16" s="28"/>
      <c r="C16" s="28"/>
      <c r="D16" s="29">
        <f t="shared" si="0"/>
        <v>0</v>
      </c>
      <c r="E16" s="28"/>
      <c r="F16" s="28"/>
      <c r="G16" s="29">
        <f t="shared" si="1"/>
        <v>0</v>
      </c>
      <c r="H16" s="30">
        <v>5</v>
      </c>
      <c r="I16" s="19">
        <f t="shared" si="2"/>
        <v>0</v>
      </c>
    </row>
    <row r="17" spans="1:9" x14ac:dyDescent="0.3">
      <c r="A17" s="28" t="s">
        <v>280</v>
      </c>
      <c r="B17" s="28"/>
      <c r="C17" s="28"/>
      <c r="D17" s="29">
        <f t="shared" si="0"/>
        <v>0</v>
      </c>
      <c r="E17" s="28"/>
      <c r="F17" s="28"/>
      <c r="G17" s="29">
        <f t="shared" si="1"/>
        <v>0</v>
      </c>
      <c r="H17" s="30">
        <v>900</v>
      </c>
      <c r="I17" s="19">
        <f t="shared" si="2"/>
        <v>0</v>
      </c>
    </row>
    <row r="18" spans="1:9" x14ac:dyDescent="0.3">
      <c r="A18" s="28" t="s">
        <v>325</v>
      </c>
      <c r="B18" s="28"/>
      <c r="C18" s="28"/>
      <c r="D18" s="29">
        <f t="shared" si="0"/>
        <v>0</v>
      </c>
      <c r="E18" s="28"/>
      <c r="F18" s="28"/>
      <c r="G18" s="29">
        <f t="shared" si="1"/>
        <v>0</v>
      </c>
      <c r="H18" s="30">
        <v>850</v>
      </c>
      <c r="I18" s="19">
        <f t="shared" si="2"/>
        <v>0</v>
      </c>
    </row>
    <row r="19" spans="1:9" x14ac:dyDescent="0.3">
      <c r="A19" s="28" t="s">
        <v>343</v>
      </c>
      <c r="B19" s="28"/>
      <c r="C19" s="28"/>
      <c r="D19" s="29">
        <f t="shared" si="0"/>
        <v>0</v>
      </c>
      <c r="E19" s="28"/>
      <c r="F19" s="28"/>
      <c r="G19" s="29">
        <f t="shared" si="1"/>
        <v>0</v>
      </c>
      <c r="H19" s="30">
        <v>1300</v>
      </c>
      <c r="I19" s="19">
        <f t="shared" si="2"/>
        <v>0</v>
      </c>
    </row>
    <row r="20" spans="1:9" x14ac:dyDescent="0.3">
      <c r="A20" s="28"/>
      <c r="B20" s="28"/>
      <c r="C20" s="28"/>
      <c r="D20" s="29">
        <f t="shared" si="0"/>
        <v>0</v>
      </c>
      <c r="E20" s="28"/>
      <c r="F20" s="28"/>
      <c r="G20" s="29">
        <f t="shared" si="1"/>
        <v>0</v>
      </c>
      <c r="H20" s="30"/>
      <c r="I20" s="19">
        <f t="shared" si="2"/>
        <v>0</v>
      </c>
    </row>
    <row r="21" spans="1:9" x14ac:dyDescent="0.3">
      <c r="A21" s="24" t="s">
        <v>130</v>
      </c>
      <c r="B21" s="28"/>
      <c r="C21" s="28"/>
      <c r="D21" s="29">
        <f t="shared" si="0"/>
        <v>0</v>
      </c>
      <c r="E21" s="28"/>
      <c r="F21" s="28"/>
      <c r="G21" s="29">
        <f t="shared" si="1"/>
        <v>0</v>
      </c>
      <c r="H21" s="30"/>
      <c r="I21" s="19">
        <f t="shared" si="2"/>
        <v>0</v>
      </c>
    </row>
    <row r="22" spans="1:9" x14ac:dyDescent="0.3">
      <c r="A22" s="28" t="s">
        <v>310</v>
      </c>
      <c r="B22" s="28">
        <v>150</v>
      </c>
      <c r="C22" s="28"/>
      <c r="D22" s="29">
        <f t="shared" si="0"/>
        <v>150</v>
      </c>
      <c r="E22" s="28"/>
      <c r="F22" s="28">
        <v>20</v>
      </c>
      <c r="G22" s="29">
        <f t="shared" si="1"/>
        <v>130</v>
      </c>
      <c r="H22" s="30">
        <v>25</v>
      </c>
      <c r="I22" s="19">
        <f t="shared" si="2"/>
        <v>3250</v>
      </c>
    </row>
    <row r="23" spans="1:9" x14ac:dyDescent="0.3">
      <c r="A23" s="28" t="s">
        <v>311</v>
      </c>
      <c r="B23" s="28">
        <v>150</v>
      </c>
      <c r="C23" s="28">
        <v>150</v>
      </c>
      <c r="D23" s="29">
        <f>B23+C23</f>
        <v>300</v>
      </c>
      <c r="E23" s="28"/>
      <c r="F23" s="28">
        <v>150</v>
      </c>
      <c r="G23" s="29">
        <f>D23-E23-F23</f>
        <v>150</v>
      </c>
      <c r="H23" s="30">
        <v>50</v>
      </c>
      <c r="I23" s="19">
        <f t="shared" si="2"/>
        <v>7500</v>
      </c>
    </row>
    <row r="24" spans="1:9" x14ac:dyDescent="0.3">
      <c r="A24" s="28" t="s">
        <v>141</v>
      </c>
      <c r="B24" s="28">
        <v>500</v>
      </c>
      <c r="C24" s="28"/>
      <c r="D24" s="29">
        <f t="shared" si="0"/>
        <v>500</v>
      </c>
      <c r="E24" s="28"/>
      <c r="F24" s="28">
        <v>250</v>
      </c>
      <c r="G24" s="29">
        <f t="shared" si="1"/>
        <v>250</v>
      </c>
      <c r="H24" s="30">
        <v>70</v>
      </c>
      <c r="I24" s="19">
        <f>G24*H24</f>
        <v>17500</v>
      </c>
    </row>
    <row r="25" spans="1:9" x14ac:dyDescent="0.3">
      <c r="A25" s="28" t="s">
        <v>330</v>
      </c>
      <c r="B25" s="28">
        <v>100</v>
      </c>
      <c r="C25" s="28"/>
      <c r="D25" s="29">
        <f t="shared" si="0"/>
        <v>100</v>
      </c>
      <c r="E25" s="28"/>
      <c r="F25" s="28">
        <v>25</v>
      </c>
      <c r="G25" s="29">
        <f t="shared" si="1"/>
        <v>75</v>
      </c>
      <c r="H25" s="30">
        <v>70</v>
      </c>
      <c r="I25" s="19">
        <f t="shared" si="2"/>
        <v>5250</v>
      </c>
    </row>
    <row r="26" spans="1:9" x14ac:dyDescent="0.3">
      <c r="A26" s="28" t="s">
        <v>359</v>
      </c>
      <c r="B26" s="28">
        <v>110</v>
      </c>
      <c r="C26" s="28"/>
      <c r="D26" s="29">
        <f t="shared" si="0"/>
        <v>110</v>
      </c>
      <c r="E26" s="28"/>
      <c r="F26" s="28">
        <v>25</v>
      </c>
      <c r="G26" s="29">
        <f t="shared" si="1"/>
        <v>85</v>
      </c>
      <c r="H26" s="30">
        <v>100</v>
      </c>
      <c r="I26" s="19">
        <f t="shared" si="2"/>
        <v>8500</v>
      </c>
    </row>
    <row r="27" spans="1:9" x14ac:dyDescent="0.3">
      <c r="A27" s="28" t="s">
        <v>245</v>
      </c>
      <c r="B27" s="28">
        <v>205</v>
      </c>
      <c r="C27" s="28"/>
      <c r="D27" s="29">
        <f t="shared" si="0"/>
        <v>205</v>
      </c>
      <c r="E27" s="28"/>
      <c r="F27" s="28">
        <v>100</v>
      </c>
      <c r="G27" s="29">
        <f t="shared" si="1"/>
        <v>105</v>
      </c>
      <c r="H27" s="30">
        <v>50</v>
      </c>
      <c r="I27" s="19">
        <f t="shared" si="2"/>
        <v>5250</v>
      </c>
    </row>
    <row r="28" spans="1:9" x14ac:dyDescent="0.3">
      <c r="A28" s="28" t="s">
        <v>391</v>
      </c>
      <c r="B28" s="28">
        <v>95</v>
      </c>
      <c r="C28" s="28"/>
      <c r="D28" s="29">
        <f t="shared" si="0"/>
        <v>95</v>
      </c>
      <c r="E28" s="28"/>
      <c r="F28" s="28">
        <v>90</v>
      </c>
      <c r="G28" s="29">
        <f t="shared" si="1"/>
        <v>5</v>
      </c>
      <c r="H28" s="30">
        <v>60</v>
      </c>
      <c r="I28" s="19">
        <f t="shared" si="2"/>
        <v>300</v>
      </c>
    </row>
    <row r="29" spans="1:9" x14ac:dyDescent="0.3">
      <c r="A29" s="24" t="s">
        <v>8</v>
      </c>
      <c r="B29" s="28"/>
      <c r="C29" s="28"/>
      <c r="D29" s="29">
        <f t="shared" si="0"/>
        <v>0</v>
      </c>
      <c r="E29" s="28"/>
      <c r="F29" s="28"/>
      <c r="G29" s="29">
        <f t="shared" si="1"/>
        <v>0</v>
      </c>
      <c r="H29" s="30"/>
      <c r="I29" s="19">
        <f t="shared" si="2"/>
        <v>0</v>
      </c>
    </row>
    <row r="30" spans="1:9" x14ac:dyDescent="0.3">
      <c r="A30" s="28" t="s">
        <v>9</v>
      </c>
      <c r="B30" s="28"/>
      <c r="C30" s="28"/>
      <c r="D30" s="29">
        <f t="shared" si="0"/>
        <v>0</v>
      </c>
      <c r="E30" s="28"/>
      <c r="F30" s="28"/>
      <c r="G30" s="29">
        <f t="shared" si="1"/>
        <v>0</v>
      </c>
      <c r="H30" s="30">
        <v>6200</v>
      </c>
      <c r="I30" s="19">
        <f t="shared" si="2"/>
        <v>0</v>
      </c>
    </row>
    <row r="31" spans="1:9" x14ac:dyDescent="0.3">
      <c r="A31" s="28" t="s">
        <v>10</v>
      </c>
      <c r="B31" s="28">
        <v>6000</v>
      </c>
      <c r="C31" s="28"/>
      <c r="D31" s="29">
        <f t="shared" si="0"/>
        <v>6000</v>
      </c>
      <c r="E31" s="28"/>
      <c r="F31" s="28">
        <v>5000</v>
      </c>
      <c r="G31" s="29">
        <f t="shared" si="1"/>
        <v>1000</v>
      </c>
      <c r="H31" s="30">
        <v>20</v>
      </c>
      <c r="I31" s="19">
        <f t="shared" si="2"/>
        <v>20000</v>
      </c>
    </row>
    <row r="32" spans="1:9" x14ac:dyDescent="0.3">
      <c r="A32" s="28" t="s">
        <v>216</v>
      </c>
      <c r="B32" s="28">
        <v>30</v>
      </c>
      <c r="C32" s="28"/>
      <c r="D32" s="29">
        <f t="shared" si="0"/>
        <v>30</v>
      </c>
      <c r="E32" s="28"/>
      <c r="F32" s="28"/>
      <c r="G32" s="29">
        <f t="shared" si="1"/>
        <v>30</v>
      </c>
      <c r="H32" s="30">
        <v>30</v>
      </c>
      <c r="I32" s="19">
        <f t="shared" si="2"/>
        <v>900</v>
      </c>
    </row>
    <row r="33" spans="1:9" x14ac:dyDescent="0.3">
      <c r="A33" s="28"/>
      <c r="B33" s="28"/>
      <c r="C33" s="28"/>
      <c r="D33" s="29">
        <f t="shared" si="0"/>
        <v>0</v>
      </c>
      <c r="E33" s="28"/>
      <c r="F33" s="28"/>
      <c r="G33" s="29">
        <f t="shared" si="1"/>
        <v>0</v>
      </c>
      <c r="H33" s="30"/>
      <c r="I33" s="19">
        <f t="shared" si="2"/>
        <v>0</v>
      </c>
    </row>
    <row r="34" spans="1:9" x14ac:dyDescent="0.3">
      <c r="A34" s="24" t="s">
        <v>11</v>
      </c>
      <c r="B34" s="28"/>
      <c r="C34" s="28"/>
      <c r="D34" s="29">
        <f t="shared" si="0"/>
        <v>0</v>
      </c>
      <c r="E34" s="28"/>
      <c r="F34" s="28"/>
      <c r="G34" s="29">
        <f t="shared" si="1"/>
        <v>0</v>
      </c>
      <c r="H34" s="30"/>
      <c r="I34" s="19">
        <f t="shared" si="2"/>
        <v>0</v>
      </c>
    </row>
    <row r="35" spans="1:9" x14ac:dyDescent="0.3">
      <c r="A35" s="28" t="s">
        <v>12</v>
      </c>
      <c r="B35" s="28">
        <v>1000</v>
      </c>
      <c r="C35" s="28">
        <v>2000</v>
      </c>
      <c r="D35" s="29">
        <f t="shared" si="0"/>
        <v>3000</v>
      </c>
      <c r="E35" s="28"/>
      <c r="F35" s="28">
        <v>1500</v>
      </c>
      <c r="G35" s="29">
        <f t="shared" si="1"/>
        <v>1500</v>
      </c>
      <c r="H35" s="30">
        <v>6</v>
      </c>
      <c r="I35" s="19">
        <f t="shared" si="2"/>
        <v>9000</v>
      </c>
    </row>
    <row r="36" spans="1:9" x14ac:dyDescent="0.3">
      <c r="A36" s="28" t="s">
        <v>13</v>
      </c>
      <c r="B36" s="28">
        <v>1000</v>
      </c>
      <c r="C36" s="28"/>
      <c r="D36" s="29">
        <f t="shared" si="0"/>
        <v>1000</v>
      </c>
      <c r="E36" s="28"/>
      <c r="F36" s="28"/>
      <c r="G36" s="29">
        <f t="shared" si="1"/>
        <v>1000</v>
      </c>
      <c r="H36" s="30">
        <v>6</v>
      </c>
      <c r="I36" s="19">
        <f t="shared" si="2"/>
        <v>6000</v>
      </c>
    </row>
    <row r="37" spans="1:9" x14ac:dyDescent="0.3">
      <c r="A37" s="28" t="s">
        <v>14</v>
      </c>
      <c r="B37" s="28">
        <v>700</v>
      </c>
      <c r="C37" s="28">
        <v>2000</v>
      </c>
      <c r="D37" s="29">
        <f t="shared" si="0"/>
        <v>2700</v>
      </c>
      <c r="E37" s="28"/>
      <c r="F37" s="28">
        <v>1000</v>
      </c>
      <c r="G37" s="29">
        <f t="shared" si="1"/>
        <v>1700</v>
      </c>
      <c r="H37" s="30">
        <v>10</v>
      </c>
      <c r="I37" s="19">
        <f t="shared" si="2"/>
        <v>17000</v>
      </c>
    </row>
    <row r="38" spans="1:9" x14ac:dyDescent="0.3">
      <c r="A38" s="28" t="s">
        <v>282</v>
      </c>
      <c r="B38" s="28"/>
      <c r="C38" s="28"/>
      <c r="D38" s="29">
        <f t="shared" si="0"/>
        <v>0</v>
      </c>
      <c r="E38" s="28"/>
      <c r="F38" s="28"/>
      <c r="G38" s="29">
        <f t="shared" si="1"/>
        <v>0</v>
      </c>
      <c r="H38" s="30">
        <v>30</v>
      </c>
      <c r="I38" s="19">
        <f t="shared" si="2"/>
        <v>0</v>
      </c>
    </row>
    <row r="39" spans="1:9" x14ac:dyDescent="0.3">
      <c r="A39" s="28" t="s">
        <v>283</v>
      </c>
      <c r="B39" s="28">
        <v>51</v>
      </c>
      <c r="C39" s="28"/>
      <c r="D39" s="29">
        <f t="shared" si="0"/>
        <v>51</v>
      </c>
      <c r="E39" s="28"/>
      <c r="F39" s="28">
        <v>20</v>
      </c>
      <c r="G39" s="29">
        <f t="shared" si="1"/>
        <v>31</v>
      </c>
      <c r="H39" s="30">
        <v>50</v>
      </c>
      <c r="I39" s="19">
        <f t="shared" si="2"/>
        <v>1550</v>
      </c>
    </row>
    <row r="40" spans="1:9" x14ac:dyDescent="0.3">
      <c r="A40" s="28" t="s">
        <v>96</v>
      </c>
      <c r="B40" s="28">
        <v>10</v>
      </c>
      <c r="C40" s="28"/>
      <c r="D40" s="29">
        <f t="shared" si="0"/>
        <v>10</v>
      </c>
      <c r="E40" s="28"/>
      <c r="F40" s="28">
        <v>3</v>
      </c>
      <c r="G40" s="29">
        <f t="shared" si="1"/>
        <v>7</v>
      </c>
      <c r="H40" s="31">
        <v>700</v>
      </c>
      <c r="I40" s="19">
        <f t="shared" si="2"/>
        <v>4900</v>
      </c>
    </row>
    <row r="41" spans="1:9" x14ac:dyDescent="0.3">
      <c r="A41" s="28" t="s">
        <v>97</v>
      </c>
      <c r="B41" s="28"/>
      <c r="C41" s="28"/>
      <c r="D41" s="29">
        <f t="shared" si="0"/>
        <v>0</v>
      </c>
      <c r="E41" s="28"/>
      <c r="F41" s="28"/>
      <c r="G41" s="29">
        <f t="shared" si="1"/>
        <v>0</v>
      </c>
      <c r="H41" s="30">
        <v>820</v>
      </c>
      <c r="I41" s="19">
        <f t="shared" si="2"/>
        <v>0</v>
      </c>
    </row>
    <row r="42" spans="1:9" x14ac:dyDescent="0.3">
      <c r="A42" s="28" t="s">
        <v>98</v>
      </c>
      <c r="B42" s="28">
        <v>27</v>
      </c>
      <c r="C42" s="28"/>
      <c r="D42" s="29">
        <f t="shared" si="0"/>
        <v>27</v>
      </c>
      <c r="E42" s="28"/>
      <c r="F42" s="28">
        <v>15</v>
      </c>
      <c r="G42" s="29">
        <f t="shared" si="1"/>
        <v>12</v>
      </c>
      <c r="H42" s="31">
        <v>900</v>
      </c>
      <c r="I42" s="19">
        <f t="shared" si="2"/>
        <v>10800</v>
      </c>
    </row>
    <row r="43" spans="1:9" x14ac:dyDescent="0.3">
      <c r="A43" s="28" t="s">
        <v>80</v>
      </c>
      <c r="B43" s="28"/>
      <c r="C43" s="28"/>
      <c r="D43" s="29">
        <f t="shared" si="0"/>
        <v>0</v>
      </c>
      <c r="E43" s="28"/>
      <c r="F43" s="28"/>
      <c r="G43" s="29">
        <f t="shared" si="1"/>
        <v>0</v>
      </c>
      <c r="H43" s="30">
        <v>2.5</v>
      </c>
      <c r="I43" s="19">
        <f t="shared" si="2"/>
        <v>0</v>
      </c>
    </row>
    <row r="44" spans="1:9" x14ac:dyDescent="0.3">
      <c r="A44" s="28" t="s">
        <v>93</v>
      </c>
      <c r="B44" s="28">
        <v>3</v>
      </c>
      <c r="C44" s="28">
        <v>10</v>
      </c>
      <c r="D44" s="29">
        <f t="shared" si="0"/>
        <v>13</v>
      </c>
      <c r="E44" s="28"/>
      <c r="F44" s="28">
        <v>4</v>
      </c>
      <c r="G44" s="29">
        <f t="shared" si="1"/>
        <v>9</v>
      </c>
      <c r="H44" s="30">
        <v>800</v>
      </c>
      <c r="I44" s="19">
        <f t="shared" si="2"/>
        <v>7200</v>
      </c>
    </row>
    <row r="45" spans="1:9" x14ac:dyDescent="0.3">
      <c r="A45" s="28" t="s">
        <v>134</v>
      </c>
      <c r="B45" s="28"/>
      <c r="C45" s="28"/>
      <c r="D45" s="29">
        <f t="shared" si="0"/>
        <v>0</v>
      </c>
      <c r="E45" s="28"/>
      <c r="F45" s="28"/>
      <c r="G45" s="29">
        <f t="shared" si="1"/>
        <v>0</v>
      </c>
      <c r="H45" s="30">
        <v>600</v>
      </c>
      <c r="I45" s="19">
        <f t="shared" si="2"/>
        <v>0</v>
      </c>
    </row>
    <row r="46" spans="1:9" x14ac:dyDescent="0.3">
      <c r="A46" s="28" t="s">
        <v>135</v>
      </c>
      <c r="B46" s="28">
        <v>6</v>
      </c>
      <c r="C46" s="28">
        <v>10</v>
      </c>
      <c r="D46" s="29">
        <f t="shared" si="0"/>
        <v>16</v>
      </c>
      <c r="E46" s="28"/>
      <c r="F46" s="28">
        <v>10</v>
      </c>
      <c r="G46" s="29">
        <f t="shared" si="1"/>
        <v>6</v>
      </c>
      <c r="H46" s="30">
        <v>900</v>
      </c>
      <c r="I46" s="19">
        <f t="shared" si="2"/>
        <v>5400</v>
      </c>
    </row>
    <row r="47" spans="1:9" x14ac:dyDescent="0.3">
      <c r="A47" s="28" t="s">
        <v>363</v>
      </c>
      <c r="B47" s="28">
        <v>7</v>
      </c>
      <c r="C47" s="28"/>
      <c r="D47" s="29">
        <f t="shared" si="0"/>
        <v>7</v>
      </c>
      <c r="E47" s="28"/>
      <c r="F47" s="28"/>
      <c r="G47" s="29">
        <f t="shared" si="1"/>
        <v>7</v>
      </c>
      <c r="H47" s="30">
        <v>1700</v>
      </c>
      <c r="I47" s="19">
        <f t="shared" si="2"/>
        <v>11900</v>
      </c>
    </row>
    <row r="48" spans="1:9" x14ac:dyDescent="0.3">
      <c r="A48" s="28" t="s">
        <v>288</v>
      </c>
      <c r="B48" s="28"/>
      <c r="C48" s="28"/>
      <c r="D48" s="29">
        <f t="shared" si="0"/>
        <v>0</v>
      </c>
      <c r="E48" s="28"/>
      <c r="F48" s="28"/>
      <c r="G48" s="29">
        <f t="shared" si="1"/>
        <v>0</v>
      </c>
      <c r="H48" s="30">
        <v>2000</v>
      </c>
      <c r="I48" s="19">
        <f t="shared" si="2"/>
        <v>0</v>
      </c>
    </row>
    <row r="49" spans="1:9" x14ac:dyDescent="0.3">
      <c r="A49" s="28" t="s">
        <v>94</v>
      </c>
      <c r="B49" s="28"/>
      <c r="C49" s="28"/>
      <c r="D49" s="29">
        <f t="shared" si="0"/>
        <v>0</v>
      </c>
      <c r="E49" s="28"/>
      <c r="F49" s="28"/>
      <c r="G49" s="29">
        <f t="shared" si="1"/>
        <v>0</v>
      </c>
      <c r="H49" s="30">
        <v>400</v>
      </c>
      <c r="I49" s="19">
        <f t="shared" si="2"/>
        <v>0</v>
      </c>
    </row>
    <row r="50" spans="1:9" x14ac:dyDescent="0.3">
      <c r="A50" s="28" t="s">
        <v>289</v>
      </c>
      <c r="B50" s="28">
        <v>2</v>
      </c>
      <c r="C50" s="28"/>
      <c r="D50" s="29">
        <f t="shared" si="0"/>
        <v>2</v>
      </c>
      <c r="E50" s="28"/>
      <c r="F50" s="28"/>
      <c r="G50" s="29">
        <f t="shared" si="1"/>
        <v>2</v>
      </c>
      <c r="H50" s="30">
        <v>3000</v>
      </c>
      <c r="I50" s="19">
        <f t="shared" si="2"/>
        <v>6000</v>
      </c>
    </row>
    <row r="51" spans="1:9" x14ac:dyDescent="0.3">
      <c r="A51" s="28" t="s">
        <v>177</v>
      </c>
      <c r="B51" s="28">
        <v>17</v>
      </c>
      <c r="C51" s="28">
        <v>10</v>
      </c>
      <c r="D51" s="29">
        <f t="shared" si="0"/>
        <v>27</v>
      </c>
      <c r="E51" s="28"/>
      <c r="F51" s="28">
        <v>15</v>
      </c>
      <c r="G51" s="29">
        <f t="shared" si="1"/>
        <v>12</v>
      </c>
      <c r="H51" s="30">
        <v>950</v>
      </c>
      <c r="I51" s="19">
        <f t="shared" si="2"/>
        <v>11400</v>
      </c>
    </row>
    <row r="52" spans="1:9" x14ac:dyDescent="0.3">
      <c r="A52" s="28" t="s">
        <v>178</v>
      </c>
      <c r="B52" s="28">
        <v>16</v>
      </c>
      <c r="C52" s="28"/>
      <c r="D52" s="29">
        <f t="shared" si="0"/>
        <v>16</v>
      </c>
      <c r="E52" s="28"/>
      <c r="F52" s="28"/>
      <c r="G52" s="29">
        <f t="shared" si="1"/>
        <v>16</v>
      </c>
      <c r="H52" s="30">
        <v>400</v>
      </c>
      <c r="I52" s="19">
        <f t="shared" si="2"/>
        <v>6400</v>
      </c>
    </row>
    <row r="53" spans="1:9" x14ac:dyDescent="0.3">
      <c r="A53" s="28" t="s">
        <v>206</v>
      </c>
      <c r="B53" s="28"/>
      <c r="C53" s="28">
        <v>1000</v>
      </c>
      <c r="D53" s="29">
        <f t="shared" si="0"/>
        <v>1000</v>
      </c>
      <c r="E53" s="28"/>
      <c r="F53" s="28">
        <v>250</v>
      </c>
      <c r="G53" s="29">
        <f t="shared" si="1"/>
        <v>750</v>
      </c>
      <c r="H53" s="30">
        <v>10</v>
      </c>
      <c r="I53" s="19">
        <f t="shared" si="2"/>
        <v>7500</v>
      </c>
    </row>
    <row r="54" spans="1:9" x14ac:dyDescent="0.3">
      <c r="A54" s="28" t="s">
        <v>238</v>
      </c>
      <c r="B54" s="28">
        <v>50</v>
      </c>
      <c r="C54" s="28">
        <v>150</v>
      </c>
      <c r="D54" s="29">
        <f t="shared" si="0"/>
        <v>200</v>
      </c>
      <c r="E54" s="28"/>
      <c r="F54" s="28">
        <v>100</v>
      </c>
      <c r="G54" s="29">
        <f t="shared" si="1"/>
        <v>100</v>
      </c>
      <c r="H54" s="30">
        <v>10</v>
      </c>
      <c r="I54" s="19">
        <f t="shared" si="2"/>
        <v>1000</v>
      </c>
    </row>
    <row r="55" spans="1:9" x14ac:dyDescent="0.3">
      <c r="A55" s="28" t="s">
        <v>152</v>
      </c>
      <c r="B55" s="28">
        <v>11</v>
      </c>
      <c r="C55" s="28">
        <v>10</v>
      </c>
      <c r="D55" s="29">
        <f t="shared" si="0"/>
        <v>21</v>
      </c>
      <c r="E55" s="28"/>
      <c r="F55" s="28">
        <v>10</v>
      </c>
      <c r="G55" s="29">
        <f t="shared" si="1"/>
        <v>11</v>
      </c>
      <c r="H55" s="30">
        <v>300</v>
      </c>
      <c r="I55" s="19">
        <f t="shared" si="2"/>
        <v>3300</v>
      </c>
    </row>
    <row r="56" spans="1:9" x14ac:dyDescent="0.3">
      <c r="A56" s="28" t="s">
        <v>400</v>
      </c>
      <c r="B56" s="28">
        <v>3</v>
      </c>
      <c r="C56" s="28"/>
      <c r="D56" s="29">
        <f t="shared" si="0"/>
        <v>3</v>
      </c>
      <c r="E56" s="28"/>
      <c r="F56" s="28">
        <v>3</v>
      </c>
      <c r="G56" s="29">
        <f t="shared" si="1"/>
        <v>0</v>
      </c>
      <c r="H56" s="30">
        <v>1100</v>
      </c>
      <c r="I56" s="19">
        <f t="shared" si="2"/>
        <v>0</v>
      </c>
    </row>
    <row r="57" spans="1:9" x14ac:dyDescent="0.3">
      <c r="A57" s="28" t="s">
        <v>401</v>
      </c>
      <c r="B57" s="28">
        <v>2</v>
      </c>
      <c r="C57" s="28"/>
      <c r="D57" s="29">
        <f t="shared" si="0"/>
        <v>2</v>
      </c>
      <c r="E57" s="28"/>
      <c r="F57" s="28">
        <v>2</v>
      </c>
      <c r="G57" s="29">
        <f t="shared" si="1"/>
        <v>0</v>
      </c>
      <c r="H57" s="30">
        <v>800</v>
      </c>
      <c r="I57" s="19">
        <f t="shared" si="2"/>
        <v>0</v>
      </c>
    </row>
    <row r="58" spans="1:9" x14ac:dyDescent="0.3">
      <c r="A58" s="28" t="s">
        <v>402</v>
      </c>
      <c r="B58" s="28">
        <v>2</v>
      </c>
      <c r="C58" s="28"/>
      <c r="D58" s="29">
        <f t="shared" si="0"/>
        <v>2</v>
      </c>
      <c r="E58" s="28"/>
      <c r="F58" s="28"/>
      <c r="G58" s="29">
        <f t="shared" si="1"/>
        <v>2</v>
      </c>
      <c r="H58" s="30">
        <v>1000</v>
      </c>
      <c r="I58" s="19">
        <f t="shared" si="2"/>
        <v>2000</v>
      </c>
    </row>
    <row r="59" spans="1:9" x14ac:dyDescent="0.3">
      <c r="A59" s="28" t="s">
        <v>403</v>
      </c>
      <c r="B59" s="28">
        <v>9</v>
      </c>
      <c r="C59" s="28"/>
      <c r="D59" s="29">
        <f t="shared" si="0"/>
        <v>9</v>
      </c>
      <c r="E59" s="28"/>
      <c r="F59" s="28">
        <v>8</v>
      </c>
      <c r="G59" s="29">
        <f t="shared" si="1"/>
        <v>1</v>
      </c>
      <c r="H59" s="30">
        <v>1000</v>
      </c>
      <c r="I59" s="19">
        <f t="shared" si="2"/>
        <v>1000</v>
      </c>
    </row>
    <row r="60" spans="1:9" x14ac:dyDescent="0.3">
      <c r="A60" s="28" t="s">
        <v>404</v>
      </c>
      <c r="B60" s="28"/>
      <c r="C60" s="28"/>
      <c r="D60" s="29">
        <f t="shared" si="0"/>
        <v>0</v>
      </c>
      <c r="E60" s="28"/>
      <c r="F60" s="28"/>
      <c r="G60" s="29">
        <f t="shared" si="1"/>
        <v>0</v>
      </c>
      <c r="H60" s="30">
        <v>1300</v>
      </c>
      <c r="I60" s="19">
        <f t="shared" si="2"/>
        <v>0</v>
      </c>
    </row>
    <row r="61" spans="1:9" x14ac:dyDescent="0.3">
      <c r="A61" s="28" t="s">
        <v>405</v>
      </c>
      <c r="B61" s="28"/>
      <c r="C61" s="28"/>
      <c r="D61" s="29">
        <f t="shared" si="0"/>
        <v>0</v>
      </c>
      <c r="E61" s="28"/>
      <c r="F61" s="28"/>
      <c r="G61" s="29">
        <f t="shared" si="1"/>
        <v>0</v>
      </c>
      <c r="H61" s="30">
        <v>1100</v>
      </c>
      <c r="I61" s="19">
        <f t="shared" si="2"/>
        <v>0</v>
      </c>
    </row>
    <row r="62" spans="1:9" x14ac:dyDescent="0.3">
      <c r="A62" s="28" t="s">
        <v>414</v>
      </c>
      <c r="B62" s="28"/>
      <c r="C62" s="28"/>
      <c r="D62" s="29">
        <f t="shared" si="0"/>
        <v>0</v>
      </c>
      <c r="E62" s="28"/>
      <c r="F62" s="28"/>
      <c r="G62" s="29">
        <f t="shared" si="1"/>
        <v>0</v>
      </c>
      <c r="H62" s="30"/>
      <c r="I62" s="19">
        <f t="shared" si="2"/>
        <v>0</v>
      </c>
    </row>
    <row r="63" spans="1:9" x14ac:dyDescent="0.3">
      <c r="A63" s="28" t="s">
        <v>254</v>
      </c>
      <c r="B63" s="28">
        <v>14</v>
      </c>
      <c r="C63" s="28">
        <v>10</v>
      </c>
      <c r="D63" s="29">
        <f t="shared" si="0"/>
        <v>24</v>
      </c>
      <c r="E63" s="28"/>
      <c r="F63" s="28">
        <v>11</v>
      </c>
      <c r="G63" s="29">
        <f t="shared" si="1"/>
        <v>13</v>
      </c>
      <c r="H63" s="30">
        <v>500</v>
      </c>
      <c r="I63" s="19">
        <f t="shared" si="2"/>
        <v>6500</v>
      </c>
    </row>
    <row r="64" spans="1:9" x14ac:dyDescent="0.3">
      <c r="A64" s="28" t="s">
        <v>396</v>
      </c>
      <c r="B64" s="28">
        <v>9</v>
      </c>
      <c r="C64" s="28"/>
      <c r="D64" s="29">
        <f t="shared" si="0"/>
        <v>9</v>
      </c>
      <c r="E64" s="28"/>
      <c r="F64" s="28">
        <v>3</v>
      </c>
      <c r="G64" s="29">
        <f t="shared" si="1"/>
        <v>6</v>
      </c>
      <c r="H64" s="31">
        <v>800</v>
      </c>
      <c r="I64" s="19">
        <f t="shared" si="2"/>
        <v>4800</v>
      </c>
    </row>
    <row r="65" spans="1:9" x14ac:dyDescent="0.3">
      <c r="A65" s="28" t="s">
        <v>255</v>
      </c>
      <c r="B65" s="28"/>
      <c r="C65" s="28"/>
      <c r="D65" s="29">
        <f t="shared" si="0"/>
        <v>0</v>
      </c>
      <c r="E65" s="28"/>
      <c r="F65" s="28"/>
      <c r="G65" s="29">
        <f t="shared" si="1"/>
        <v>0</v>
      </c>
      <c r="H65" s="30">
        <v>200</v>
      </c>
      <c r="I65" s="19">
        <f t="shared" si="2"/>
        <v>0</v>
      </c>
    </row>
    <row r="66" spans="1:9" x14ac:dyDescent="0.3">
      <c r="A66" s="28" t="s">
        <v>256</v>
      </c>
      <c r="B66" s="28"/>
      <c r="C66" s="28"/>
      <c r="D66" s="29">
        <f t="shared" si="0"/>
        <v>0</v>
      </c>
      <c r="E66" s="28"/>
      <c r="F66" s="28"/>
      <c r="G66" s="29">
        <f t="shared" si="1"/>
        <v>0</v>
      </c>
      <c r="H66" s="30">
        <v>850</v>
      </c>
      <c r="I66" s="19">
        <f t="shared" si="2"/>
        <v>0</v>
      </c>
    </row>
    <row r="67" spans="1:9" x14ac:dyDescent="0.3">
      <c r="A67" s="28" t="s">
        <v>273</v>
      </c>
      <c r="B67" s="28"/>
      <c r="C67" s="28"/>
      <c r="D67" s="29">
        <f t="shared" si="0"/>
        <v>0</v>
      </c>
      <c r="E67" s="28"/>
      <c r="F67" s="28"/>
      <c r="G67" s="29">
        <f t="shared" si="1"/>
        <v>0</v>
      </c>
      <c r="H67" s="30">
        <v>750</v>
      </c>
      <c r="I67" s="19">
        <f t="shared" si="2"/>
        <v>0</v>
      </c>
    </row>
    <row r="68" spans="1:9" x14ac:dyDescent="0.3">
      <c r="A68" s="28" t="s">
        <v>274</v>
      </c>
      <c r="B68" s="28">
        <v>10</v>
      </c>
      <c r="C68" s="28"/>
      <c r="D68" s="29">
        <f t="shared" si="0"/>
        <v>10</v>
      </c>
      <c r="E68" s="28"/>
      <c r="F68" s="28"/>
      <c r="G68" s="29">
        <f t="shared" si="1"/>
        <v>10</v>
      </c>
      <c r="H68" s="30">
        <v>290</v>
      </c>
      <c r="I68" s="19">
        <f t="shared" si="2"/>
        <v>2900</v>
      </c>
    </row>
    <row r="69" spans="1:9" x14ac:dyDescent="0.3">
      <c r="A69" s="28" t="s">
        <v>284</v>
      </c>
      <c r="B69" s="28"/>
      <c r="C69" s="28"/>
      <c r="D69" s="29">
        <f t="shared" si="0"/>
        <v>0</v>
      </c>
      <c r="E69" s="28"/>
      <c r="F69" s="28"/>
      <c r="G69" s="29">
        <f t="shared" si="1"/>
        <v>0</v>
      </c>
      <c r="H69" s="30">
        <v>600</v>
      </c>
      <c r="I69" s="19">
        <f t="shared" si="2"/>
        <v>0</v>
      </c>
    </row>
    <row r="70" spans="1:9" x14ac:dyDescent="0.3">
      <c r="A70" s="28" t="s">
        <v>275</v>
      </c>
      <c r="B70" s="28"/>
      <c r="C70" s="28"/>
      <c r="D70" s="29">
        <f t="shared" si="0"/>
        <v>0</v>
      </c>
      <c r="E70" s="28"/>
      <c r="F70" s="28"/>
      <c r="G70" s="29">
        <f t="shared" si="1"/>
        <v>0</v>
      </c>
      <c r="H70" s="30">
        <v>1300</v>
      </c>
      <c r="I70" s="19">
        <f t="shared" si="2"/>
        <v>0</v>
      </c>
    </row>
    <row r="71" spans="1:9" x14ac:dyDescent="0.3">
      <c r="A71" s="28" t="s">
        <v>390</v>
      </c>
      <c r="B71" s="28"/>
      <c r="C71" s="28"/>
      <c r="D71" s="29">
        <f t="shared" si="0"/>
        <v>0</v>
      </c>
      <c r="E71" s="28"/>
      <c r="F71" s="28"/>
      <c r="G71" s="29">
        <f t="shared" si="1"/>
        <v>0</v>
      </c>
      <c r="H71" s="30">
        <v>580</v>
      </c>
      <c r="I71" s="19">
        <f t="shared" si="2"/>
        <v>0</v>
      </c>
    </row>
    <row r="72" spans="1:9" x14ac:dyDescent="0.3">
      <c r="A72" s="28" t="s">
        <v>290</v>
      </c>
      <c r="B72" s="28">
        <v>4</v>
      </c>
      <c r="C72" s="28">
        <v>10</v>
      </c>
      <c r="D72" s="29">
        <f t="shared" si="0"/>
        <v>14</v>
      </c>
      <c r="E72" s="28"/>
      <c r="F72" s="28">
        <v>2</v>
      </c>
      <c r="G72" s="29">
        <f t="shared" si="1"/>
        <v>12</v>
      </c>
      <c r="H72" s="30">
        <v>2300</v>
      </c>
      <c r="I72" s="19">
        <f t="shared" si="2"/>
        <v>27600</v>
      </c>
    </row>
    <row r="73" spans="1:9" x14ac:dyDescent="0.3">
      <c r="A73" s="28" t="s">
        <v>291</v>
      </c>
      <c r="B73" s="28"/>
      <c r="C73" s="28"/>
      <c r="D73" s="29">
        <f t="shared" si="0"/>
        <v>0</v>
      </c>
      <c r="E73" s="28"/>
      <c r="F73" s="28"/>
      <c r="G73" s="29">
        <f t="shared" si="1"/>
        <v>0</v>
      </c>
      <c r="H73" s="30">
        <v>450</v>
      </c>
      <c r="I73" s="19">
        <f t="shared" si="2"/>
        <v>0</v>
      </c>
    </row>
    <row r="74" spans="1:9" x14ac:dyDescent="0.3">
      <c r="A74" s="28" t="s">
        <v>300</v>
      </c>
      <c r="B74" s="28"/>
      <c r="C74" s="28"/>
      <c r="D74" s="29">
        <f t="shared" si="0"/>
        <v>0</v>
      </c>
      <c r="E74" s="28"/>
      <c r="F74" s="28"/>
      <c r="G74" s="29">
        <f t="shared" si="1"/>
        <v>0</v>
      </c>
      <c r="H74" s="30">
        <v>950</v>
      </c>
      <c r="I74" s="19">
        <f t="shared" si="2"/>
        <v>0</v>
      </c>
    </row>
    <row r="75" spans="1:9" x14ac:dyDescent="0.3">
      <c r="A75" s="28" t="s">
        <v>353</v>
      </c>
      <c r="B75" s="28">
        <v>4</v>
      </c>
      <c r="C75" s="28">
        <v>5</v>
      </c>
      <c r="D75" s="29">
        <f t="shared" si="0"/>
        <v>9</v>
      </c>
      <c r="E75" s="28"/>
      <c r="F75" s="28">
        <v>1</v>
      </c>
      <c r="G75" s="29">
        <f t="shared" si="1"/>
        <v>8</v>
      </c>
      <c r="H75" s="30">
        <v>3200</v>
      </c>
      <c r="I75" s="19">
        <f t="shared" si="2"/>
        <v>25600</v>
      </c>
    </row>
    <row r="76" spans="1:9" x14ac:dyDescent="0.3">
      <c r="A76" s="28" t="s">
        <v>354</v>
      </c>
      <c r="B76" s="28"/>
      <c r="C76" s="28"/>
      <c r="D76" s="29">
        <f t="shared" si="0"/>
        <v>0</v>
      </c>
      <c r="E76" s="28"/>
      <c r="F76" s="28"/>
      <c r="G76" s="29">
        <f t="shared" si="1"/>
        <v>0</v>
      </c>
      <c r="H76" s="30">
        <v>1000</v>
      </c>
      <c r="I76" s="19">
        <f t="shared" si="2"/>
        <v>0</v>
      </c>
    </row>
    <row r="77" spans="1:9" x14ac:dyDescent="0.3">
      <c r="A77" s="28" t="s">
        <v>364</v>
      </c>
      <c r="B77" s="28">
        <v>31</v>
      </c>
      <c r="C77" s="28"/>
      <c r="D77" s="29">
        <f t="shared" si="0"/>
        <v>31</v>
      </c>
      <c r="E77" s="28"/>
      <c r="F77" s="28">
        <v>20</v>
      </c>
      <c r="G77" s="29">
        <f t="shared" si="1"/>
        <v>11</v>
      </c>
      <c r="H77" s="30">
        <v>1800</v>
      </c>
      <c r="I77" s="19">
        <f t="shared" si="2"/>
        <v>19800</v>
      </c>
    </row>
    <row r="78" spans="1:9" x14ac:dyDescent="0.3">
      <c r="A78" s="28" t="s">
        <v>392</v>
      </c>
      <c r="B78" s="28"/>
      <c r="C78" s="28"/>
      <c r="D78" s="29">
        <f t="shared" si="0"/>
        <v>0</v>
      </c>
      <c r="E78" s="28"/>
      <c r="F78" s="28"/>
      <c r="G78" s="29">
        <f t="shared" si="1"/>
        <v>0</v>
      </c>
      <c r="H78" s="30">
        <v>400</v>
      </c>
      <c r="I78" s="19">
        <f t="shared" si="2"/>
        <v>0</v>
      </c>
    </row>
    <row r="79" spans="1:9" x14ac:dyDescent="0.3">
      <c r="A79" s="28" t="s">
        <v>389</v>
      </c>
      <c r="B79" s="28">
        <v>3</v>
      </c>
      <c r="C79" s="28">
        <v>10</v>
      </c>
      <c r="D79" s="29">
        <f t="shared" si="0"/>
        <v>13</v>
      </c>
      <c r="E79" s="28"/>
      <c r="F79" s="28">
        <v>10</v>
      </c>
      <c r="G79" s="29">
        <f t="shared" si="1"/>
        <v>3</v>
      </c>
      <c r="H79" s="30">
        <v>1400</v>
      </c>
      <c r="I79" s="19">
        <f t="shared" si="2"/>
        <v>4200</v>
      </c>
    </row>
    <row r="80" spans="1:9" x14ac:dyDescent="0.3">
      <c r="A80" s="28" t="s">
        <v>393</v>
      </c>
      <c r="B80" s="28"/>
      <c r="C80" s="28"/>
      <c r="D80" s="29">
        <f t="shared" si="0"/>
        <v>0</v>
      </c>
      <c r="E80" s="28"/>
      <c r="F80" s="28"/>
      <c r="G80" s="29">
        <f t="shared" si="1"/>
        <v>0</v>
      </c>
      <c r="H80" s="30">
        <v>1000</v>
      </c>
      <c r="I80" s="19">
        <f t="shared" si="2"/>
        <v>0</v>
      </c>
    </row>
    <row r="81" spans="1:9" x14ac:dyDescent="0.3">
      <c r="A81" s="28"/>
      <c r="B81" s="28"/>
      <c r="C81" s="28"/>
      <c r="D81" s="29"/>
      <c r="E81" s="28"/>
      <c r="F81" s="28"/>
      <c r="G81" s="29"/>
      <c r="H81" s="30"/>
      <c r="I81" s="19"/>
    </row>
    <row r="82" spans="1:9" x14ac:dyDescent="0.3">
      <c r="A82" s="24" t="s">
        <v>15</v>
      </c>
      <c r="B82" s="28"/>
      <c r="C82" s="28"/>
      <c r="D82" s="29">
        <f t="shared" si="0"/>
        <v>0</v>
      </c>
      <c r="E82" s="28"/>
      <c r="F82" s="28"/>
      <c r="G82" s="29">
        <f t="shared" si="1"/>
        <v>0</v>
      </c>
      <c r="H82" s="30"/>
      <c r="I82" s="19">
        <f t="shared" si="2"/>
        <v>0</v>
      </c>
    </row>
    <row r="83" spans="1:9" x14ac:dyDescent="0.3">
      <c r="A83" s="28" t="s">
        <v>16</v>
      </c>
      <c r="B83" s="28"/>
      <c r="C83" s="28"/>
      <c r="D83" s="29">
        <f t="shared" si="0"/>
        <v>0</v>
      </c>
      <c r="E83" s="28"/>
      <c r="F83" s="28"/>
      <c r="G83" s="29">
        <f t="shared" si="1"/>
        <v>0</v>
      </c>
      <c r="H83" s="30">
        <v>9</v>
      </c>
      <c r="I83" s="19">
        <f t="shared" si="2"/>
        <v>0</v>
      </c>
    </row>
    <row r="84" spans="1:9" x14ac:dyDescent="0.3">
      <c r="A84" s="28" t="s">
        <v>266</v>
      </c>
      <c r="B84" s="28">
        <v>4000</v>
      </c>
      <c r="C84" s="28">
        <v>4000</v>
      </c>
      <c r="D84" s="29">
        <f t="shared" si="0"/>
        <v>8000</v>
      </c>
      <c r="E84" s="28"/>
      <c r="F84" s="28">
        <v>6000</v>
      </c>
      <c r="G84" s="29">
        <f t="shared" si="1"/>
        <v>2000</v>
      </c>
      <c r="H84" s="30">
        <v>10</v>
      </c>
      <c r="I84" s="19">
        <f t="shared" si="2"/>
        <v>20000</v>
      </c>
    </row>
    <row r="85" spans="1:9" x14ac:dyDescent="0.3">
      <c r="A85" s="28" t="s">
        <v>208</v>
      </c>
      <c r="B85" s="28"/>
      <c r="C85" s="28"/>
      <c r="D85" s="29">
        <f t="shared" si="0"/>
        <v>0</v>
      </c>
      <c r="E85" s="28"/>
      <c r="F85" s="28"/>
      <c r="G85" s="29">
        <f t="shared" si="1"/>
        <v>0</v>
      </c>
      <c r="H85" s="30">
        <v>9</v>
      </c>
      <c r="I85" s="19">
        <f t="shared" si="2"/>
        <v>0</v>
      </c>
    </row>
    <row r="86" spans="1:9" x14ac:dyDescent="0.3">
      <c r="A86" s="28" t="s">
        <v>17</v>
      </c>
      <c r="B86" s="28">
        <v>40</v>
      </c>
      <c r="C86" s="28"/>
      <c r="D86" s="29">
        <f t="shared" si="0"/>
        <v>40</v>
      </c>
      <c r="E86" s="28"/>
      <c r="F86" s="28">
        <v>30</v>
      </c>
      <c r="G86" s="29">
        <f t="shared" si="1"/>
        <v>10</v>
      </c>
      <c r="H86" s="30">
        <v>500</v>
      </c>
      <c r="I86" s="19">
        <f t="shared" si="2"/>
        <v>5000</v>
      </c>
    </row>
    <row r="87" spans="1:9" x14ac:dyDescent="0.3">
      <c r="A87" s="28" t="s">
        <v>18</v>
      </c>
      <c r="B87" s="28"/>
      <c r="C87" s="28"/>
      <c r="D87" s="29">
        <f t="shared" si="0"/>
        <v>0</v>
      </c>
      <c r="E87" s="28"/>
      <c r="F87" s="28"/>
      <c r="G87" s="29">
        <f t="shared" si="1"/>
        <v>0</v>
      </c>
      <c r="H87" s="30"/>
      <c r="I87" s="19">
        <f t="shared" si="2"/>
        <v>0</v>
      </c>
    </row>
    <row r="88" spans="1:9" x14ac:dyDescent="0.3">
      <c r="A88" s="28" t="s">
        <v>19</v>
      </c>
      <c r="B88" s="28">
        <v>3000</v>
      </c>
      <c r="C88" s="28"/>
      <c r="D88" s="29">
        <f t="shared" si="0"/>
        <v>3000</v>
      </c>
      <c r="E88" s="28"/>
      <c r="F88" s="28">
        <v>2000</v>
      </c>
      <c r="G88" s="29">
        <f t="shared" si="1"/>
        <v>1000</v>
      </c>
      <c r="H88" s="30">
        <v>7.5</v>
      </c>
      <c r="I88" s="19">
        <f t="shared" si="2"/>
        <v>7500</v>
      </c>
    </row>
    <row r="89" spans="1:9" x14ac:dyDescent="0.3">
      <c r="A89" s="28" t="s">
        <v>267</v>
      </c>
      <c r="B89" s="28"/>
      <c r="C89" s="28"/>
      <c r="D89" s="29">
        <f t="shared" si="0"/>
        <v>0</v>
      </c>
      <c r="E89" s="28"/>
      <c r="F89" s="28"/>
      <c r="G89" s="29">
        <f t="shared" si="1"/>
        <v>0</v>
      </c>
      <c r="H89" s="30">
        <v>20</v>
      </c>
      <c r="I89" s="19">
        <f t="shared" si="2"/>
        <v>0</v>
      </c>
    </row>
    <row r="90" spans="1:9" x14ac:dyDescent="0.3">
      <c r="A90" s="28" t="s">
        <v>86</v>
      </c>
      <c r="B90" s="28">
        <v>15</v>
      </c>
      <c r="C90" s="28"/>
      <c r="D90" s="29">
        <f t="shared" si="0"/>
        <v>15</v>
      </c>
      <c r="E90" s="28"/>
      <c r="F90" s="28">
        <v>6</v>
      </c>
      <c r="G90" s="29">
        <f t="shared" si="1"/>
        <v>9</v>
      </c>
      <c r="H90" s="31">
        <v>500</v>
      </c>
      <c r="I90" s="19">
        <f t="shared" si="2"/>
        <v>4500</v>
      </c>
    </row>
    <row r="91" spans="1:9" x14ac:dyDescent="0.3">
      <c r="A91" s="28" t="s">
        <v>87</v>
      </c>
      <c r="B91" s="28">
        <v>25</v>
      </c>
      <c r="C91" s="28">
        <v>100</v>
      </c>
      <c r="D91" s="29">
        <f t="shared" si="0"/>
        <v>125</v>
      </c>
      <c r="E91" s="28"/>
      <c r="F91" s="28">
        <v>100</v>
      </c>
      <c r="G91" s="29">
        <f t="shared" si="1"/>
        <v>25</v>
      </c>
      <c r="H91" s="31">
        <v>200</v>
      </c>
      <c r="I91" s="19">
        <f t="shared" si="2"/>
        <v>5000</v>
      </c>
    </row>
    <row r="92" spans="1:9" x14ac:dyDescent="0.3">
      <c r="A92" s="28" t="s">
        <v>85</v>
      </c>
      <c r="B92" s="28"/>
      <c r="C92" s="28"/>
      <c r="D92" s="29">
        <f t="shared" si="0"/>
        <v>0</v>
      </c>
      <c r="E92" s="28"/>
      <c r="F92" s="28"/>
      <c r="G92" s="29">
        <f t="shared" si="1"/>
        <v>0</v>
      </c>
      <c r="H92" s="32">
        <v>400</v>
      </c>
      <c r="I92" s="19">
        <f t="shared" si="2"/>
        <v>0</v>
      </c>
    </row>
    <row r="93" spans="1:9" x14ac:dyDescent="0.3">
      <c r="A93" s="28" t="s">
        <v>88</v>
      </c>
      <c r="B93" s="28">
        <v>2</v>
      </c>
      <c r="C93" s="28"/>
      <c r="D93" s="29">
        <f t="shared" si="0"/>
        <v>2</v>
      </c>
      <c r="E93" s="28"/>
      <c r="F93" s="28">
        <v>1</v>
      </c>
      <c r="G93" s="29">
        <f t="shared" si="1"/>
        <v>1</v>
      </c>
      <c r="H93" s="32">
        <v>1000</v>
      </c>
      <c r="I93" s="19">
        <f t="shared" si="2"/>
        <v>1000</v>
      </c>
    </row>
    <row r="94" spans="1:9" x14ac:dyDescent="0.3">
      <c r="A94" s="28" t="s">
        <v>89</v>
      </c>
      <c r="B94" s="28">
        <v>16</v>
      </c>
      <c r="C94" s="28"/>
      <c r="D94" s="29">
        <f t="shared" si="0"/>
        <v>16</v>
      </c>
      <c r="E94" s="28"/>
      <c r="F94" s="28">
        <v>10</v>
      </c>
      <c r="G94" s="29">
        <f t="shared" si="1"/>
        <v>6</v>
      </c>
      <c r="H94" s="32">
        <v>700</v>
      </c>
      <c r="I94" s="19">
        <f t="shared" si="2"/>
        <v>4200</v>
      </c>
    </row>
    <row r="95" spans="1:9" x14ac:dyDescent="0.3">
      <c r="A95" s="28" t="s">
        <v>90</v>
      </c>
      <c r="B95" s="28"/>
      <c r="C95" s="28"/>
      <c r="D95" s="29">
        <f t="shared" si="0"/>
        <v>0</v>
      </c>
      <c r="E95" s="28"/>
      <c r="F95" s="28"/>
      <c r="G95" s="29">
        <f t="shared" si="1"/>
        <v>0</v>
      </c>
      <c r="H95" s="30">
        <v>350</v>
      </c>
      <c r="I95" s="19">
        <f t="shared" si="2"/>
        <v>0</v>
      </c>
    </row>
    <row r="96" spans="1:9" x14ac:dyDescent="0.3">
      <c r="A96" s="28" t="s">
        <v>99</v>
      </c>
      <c r="B96" s="28"/>
      <c r="C96" s="28"/>
      <c r="D96" s="29">
        <f t="shared" si="0"/>
        <v>0</v>
      </c>
      <c r="E96" s="28"/>
      <c r="F96" s="28"/>
      <c r="G96" s="29">
        <f t="shared" si="1"/>
        <v>0</v>
      </c>
      <c r="H96" s="32">
        <v>70</v>
      </c>
      <c r="I96" s="19">
        <f t="shared" si="2"/>
        <v>0</v>
      </c>
    </row>
    <row r="97" spans="1:9" x14ac:dyDescent="0.3">
      <c r="A97" s="28" t="s">
        <v>117</v>
      </c>
      <c r="B97" s="28"/>
      <c r="C97" s="28"/>
      <c r="D97" s="29">
        <f t="shared" ref="D97:D173" si="3">B97+C97</f>
        <v>0</v>
      </c>
      <c r="E97" s="28"/>
      <c r="F97" s="28"/>
      <c r="G97" s="29">
        <f t="shared" si="1"/>
        <v>0</v>
      </c>
      <c r="H97" s="30">
        <v>4.8</v>
      </c>
      <c r="I97" s="19">
        <f t="shared" si="2"/>
        <v>0</v>
      </c>
    </row>
    <row r="98" spans="1:9" x14ac:dyDescent="0.3">
      <c r="A98" s="28" t="s">
        <v>150</v>
      </c>
      <c r="B98" s="28"/>
      <c r="C98" s="28"/>
      <c r="D98" s="29">
        <f t="shared" si="3"/>
        <v>0</v>
      </c>
      <c r="E98" s="28"/>
      <c r="F98" s="28"/>
      <c r="G98" s="29">
        <f t="shared" si="1"/>
        <v>0</v>
      </c>
      <c r="H98" s="30">
        <v>700</v>
      </c>
      <c r="I98" s="19">
        <f t="shared" si="2"/>
        <v>0</v>
      </c>
    </row>
    <row r="99" spans="1:9" x14ac:dyDescent="0.3">
      <c r="A99" s="28" t="s">
        <v>217</v>
      </c>
      <c r="B99" s="28"/>
      <c r="C99" s="28"/>
      <c r="D99" s="29">
        <f t="shared" si="3"/>
        <v>0</v>
      </c>
      <c r="E99" s="28"/>
      <c r="F99" s="28"/>
      <c r="G99" s="29">
        <f t="shared" si="1"/>
        <v>0</v>
      </c>
      <c r="H99" s="30">
        <v>380</v>
      </c>
      <c r="I99" s="19">
        <f t="shared" si="2"/>
        <v>0</v>
      </c>
    </row>
    <row r="100" spans="1:9" x14ac:dyDescent="0.3">
      <c r="A100" s="28" t="s">
        <v>355</v>
      </c>
      <c r="B100" s="28"/>
      <c r="C100" s="28"/>
      <c r="D100" s="29">
        <f t="shared" si="3"/>
        <v>0</v>
      </c>
      <c r="E100" s="28"/>
      <c r="F100" s="28"/>
      <c r="G100" s="29">
        <f t="shared" si="1"/>
        <v>0</v>
      </c>
      <c r="H100" s="30">
        <v>1800</v>
      </c>
      <c r="I100" s="19">
        <f t="shared" si="2"/>
        <v>0</v>
      </c>
    </row>
    <row r="101" spans="1:9" x14ac:dyDescent="0.3">
      <c r="A101" s="28" t="s">
        <v>247</v>
      </c>
      <c r="B101" s="28"/>
      <c r="C101" s="28"/>
      <c r="D101" s="29">
        <f t="shared" si="3"/>
        <v>0</v>
      </c>
      <c r="E101" s="28"/>
      <c r="F101" s="28"/>
      <c r="G101" s="29">
        <f t="shared" si="1"/>
        <v>0</v>
      </c>
      <c r="H101" s="30">
        <v>550</v>
      </c>
      <c r="I101" s="19">
        <f t="shared" si="2"/>
        <v>0</v>
      </c>
    </row>
    <row r="102" spans="1:9" x14ac:dyDescent="0.3">
      <c r="A102" s="28" t="s">
        <v>257</v>
      </c>
      <c r="B102" s="28">
        <v>1</v>
      </c>
      <c r="C102" s="28"/>
      <c r="D102" s="29">
        <f t="shared" si="3"/>
        <v>1</v>
      </c>
      <c r="E102" s="28"/>
      <c r="F102" s="28"/>
      <c r="G102" s="29">
        <f t="shared" si="1"/>
        <v>1</v>
      </c>
      <c r="H102" s="30">
        <v>500</v>
      </c>
      <c r="I102" s="19">
        <f t="shared" si="2"/>
        <v>500</v>
      </c>
    </row>
    <row r="103" spans="1:9" x14ac:dyDescent="0.3">
      <c r="A103" s="28" t="s">
        <v>265</v>
      </c>
      <c r="B103" s="28"/>
      <c r="C103" s="28"/>
      <c r="D103" s="29">
        <f t="shared" si="3"/>
        <v>0</v>
      </c>
      <c r="E103" s="28"/>
      <c r="F103" s="28"/>
      <c r="G103" s="29">
        <f t="shared" si="1"/>
        <v>0</v>
      </c>
      <c r="H103" s="30">
        <v>750</v>
      </c>
      <c r="I103" s="19">
        <f t="shared" si="2"/>
        <v>0</v>
      </c>
    </row>
    <row r="104" spans="1:9" x14ac:dyDescent="0.3">
      <c r="A104" s="28" t="s">
        <v>292</v>
      </c>
      <c r="B104" s="28">
        <v>10</v>
      </c>
      <c r="C104" s="28"/>
      <c r="D104" s="29">
        <f t="shared" si="3"/>
        <v>10</v>
      </c>
      <c r="E104" s="28"/>
      <c r="F104" s="28"/>
      <c r="G104" s="29">
        <f t="shared" si="1"/>
        <v>10</v>
      </c>
      <c r="H104" s="30">
        <v>160</v>
      </c>
      <c r="I104" s="19">
        <f t="shared" si="2"/>
        <v>1600</v>
      </c>
    </row>
    <row r="105" spans="1:9" x14ac:dyDescent="0.3">
      <c r="A105" s="28" t="s">
        <v>301</v>
      </c>
      <c r="B105" s="28"/>
      <c r="C105" s="28"/>
      <c r="D105" s="29">
        <f t="shared" si="3"/>
        <v>0</v>
      </c>
      <c r="E105" s="28"/>
      <c r="F105" s="28"/>
      <c r="G105" s="29">
        <f t="shared" si="1"/>
        <v>0</v>
      </c>
      <c r="H105" s="30">
        <v>335</v>
      </c>
      <c r="I105" s="19">
        <f t="shared" si="2"/>
        <v>0</v>
      </c>
    </row>
    <row r="106" spans="1:9" x14ac:dyDescent="0.3">
      <c r="A106" s="28" t="s">
        <v>316</v>
      </c>
      <c r="B106" s="28"/>
      <c r="C106" s="28"/>
      <c r="D106" s="29">
        <f t="shared" si="3"/>
        <v>0</v>
      </c>
      <c r="E106" s="28"/>
      <c r="F106" s="28"/>
      <c r="G106" s="29">
        <f t="shared" si="1"/>
        <v>0</v>
      </c>
      <c r="H106" s="30">
        <v>150</v>
      </c>
      <c r="I106" s="19">
        <f t="shared" si="2"/>
        <v>0</v>
      </c>
    </row>
    <row r="107" spans="1:9" x14ac:dyDescent="0.3">
      <c r="A107" s="28" t="s">
        <v>336</v>
      </c>
      <c r="B107" s="28"/>
      <c r="C107" s="28"/>
      <c r="D107" s="29">
        <f t="shared" si="3"/>
        <v>0</v>
      </c>
      <c r="E107" s="28"/>
      <c r="F107" s="28"/>
      <c r="G107" s="29">
        <f t="shared" si="1"/>
        <v>0</v>
      </c>
      <c r="H107" s="30">
        <v>270</v>
      </c>
      <c r="I107" s="19">
        <f t="shared" si="2"/>
        <v>0</v>
      </c>
    </row>
    <row r="108" spans="1:9" x14ac:dyDescent="0.3">
      <c r="A108" s="28" t="s">
        <v>323</v>
      </c>
      <c r="B108" s="28"/>
      <c r="C108" s="28"/>
      <c r="D108" s="29">
        <f t="shared" si="3"/>
        <v>0</v>
      </c>
      <c r="E108" s="28"/>
      <c r="F108" s="28"/>
      <c r="G108" s="29">
        <f t="shared" si="1"/>
        <v>0</v>
      </c>
      <c r="H108" s="30">
        <v>550</v>
      </c>
      <c r="I108" s="19">
        <f t="shared" si="2"/>
        <v>0</v>
      </c>
    </row>
    <row r="109" spans="1:9" x14ac:dyDescent="0.3">
      <c r="A109" s="28" t="s">
        <v>348</v>
      </c>
      <c r="B109" s="28"/>
      <c r="C109" s="28"/>
      <c r="D109" s="29">
        <f t="shared" si="3"/>
        <v>0</v>
      </c>
      <c r="E109" s="28"/>
      <c r="F109" s="28"/>
      <c r="G109" s="29">
        <f t="shared" si="1"/>
        <v>0</v>
      </c>
      <c r="H109" s="30">
        <v>1700</v>
      </c>
      <c r="I109" s="19">
        <f t="shared" si="2"/>
        <v>0</v>
      </c>
    </row>
    <row r="110" spans="1:9" x14ac:dyDescent="0.3">
      <c r="A110" s="28" t="s">
        <v>356</v>
      </c>
      <c r="B110" s="28"/>
      <c r="C110" s="28"/>
      <c r="D110" s="29">
        <f t="shared" si="3"/>
        <v>0</v>
      </c>
      <c r="E110" s="28"/>
      <c r="F110" s="28"/>
      <c r="G110" s="29">
        <f t="shared" si="1"/>
        <v>0</v>
      </c>
      <c r="H110" s="30">
        <v>550</v>
      </c>
      <c r="I110" s="19">
        <f t="shared" si="2"/>
        <v>0</v>
      </c>
    </row>
    <row r="111" spans="1:9" x14ac:dyDescent="0.3">
      <c r="A111" s="28"/>
      <c r="B111" s="28"/>
      <c r="C111" s="28"/>
      <c r="D111" s="29"/>
      <c r="E111" s="28"/>
      <c r="F111" s="28"/>
      <c r="G111" s="29"/>
      <c r="H111" s="30"/>
      <c r="I111" s="19"/>
    </row>
    <row r="112" spans="1:9" x14ac:dyDescent="0.3">
      <c r="A112" s="24" t="s">
        <v>20</v>
      </c>
      <c r="B112" s="28"/>
      <c r="C112" s="28"/>
      <c r="D112" s="29">
        <f t="shared" si="3"/>
        <v>0</v>
      </c>
      <c r="E112" s="28"/>
      <c r="F112" s="28"/>
      <c r="G112" s="29">
        <f t="shared" si="1"/>
        <v>0</v>
      </c>
      <c r="H112" s="30"/>
      <c r="I112" s="19">
        <f t="shared" si="2"/>
        <v>0</v>
      </c>
    </row>
    <row r="113" spans="1:9" x14ac:dyDescent="0.3">
      <c r="A113" s="28" t="s">
        <v>21</v>
      </c>
      <c r="B113" s="28">
        <v>500</v>
      </c>
      <c r="C113" s="28"/>
      <c r="D113" s="29">
        <f t="shared" si="3"/>
        <v>500</v>
      </c>
      <c r="E113" s="28"/>
      <c r="F113" s="28"/>
      <c r="G113" s="29">
        <f t="shared" si="1"/>
        <v>500</v>
      </c>
      <c r="H113" s="30">
        <v>10</v>
      </c>
      <c r="I113" s="19">
        <f t="shared" si="2"/>
        <v>5000</v>
      </c>
    </row>
    <row r="114" spans="1:9" x14ac:dyDescent="0.3">
      <c r="A114" s="28" t="s">
        <v>285</v>
      </c>
      <c r="B114" s="28"/>
      <c r="C114" s="28"/>
      <c r="D114" s="29">
        <f t="shared" si="3"/>
        <v>0</v>
      </c>
      <c r="E114" s="28"/>
      <c r="F114" s="28"/>
      <c r="G114" s="29">
        <f t="shared" si="1"/>
        <v>0</v>
      </c>
      <c r="H114" s="30">
        <v>10</v>
      </c>
      <c r="I114" s="19">
        <f t="shared" si="2"/>
        <v>0</v>
      </c>
    </row>
    <row r="115" spans="1:9" x14ac:dyDescent="0.3">
      <c r="A115" s="28" t="s">
        <v>95</v>
      </c>
      <c r="B115" s="28">
        <v>6</v>
      </c>
      <c r="C115" s="28"/>
      <c r="D115" s="29">
        <f t="shared" si="3"/>
        <v>6</v>
      </c>
      <c r="E115" s="28"/>
      <c r="F115" s="28"/>
      <c r="G115" s="29">
        <f t="shared" si="1"/>
        <v>6</v>
      </c>
      <c r="H115" s="31">
        <v>360</v>
      </c>
      <c r="I115" s="19">
        <f t="shared" si="2"/>
        <v>2160</v>
      </c>
    </row>
    <row r="116" spans="1:9" x14ac:dyDescent="0.3">
      <c r="A116" s="28" t="s">
        <v>113</v>
      </c>
      <c r="B116" s="28">
        <v>1</v>
      </c>
      <c r="C116" s="28"/>
      <c r="D116" s="29">
        <f t="shared" si="3"/>
        <v>1</v>
      </c>
      <c r="E116" s="28"/>
      <c r="F116" s="28"/>
      <c r="G116" s="29">
        <f t="shared" si="1"/>
        <v>1</v>
      </c>
      <c r="H116" s="30">
        <v>600</v>
      </c>
      <c r="I116" s="19">
        <f t="shared" si="2"/>
        <v>600</v>
      </c>
    </row>
    <row r="117" spans="1:9" x14ac:dyDescent="0.3">
      <c r="A117" s="28" t="s">
        <v>239</v>
      </c>
      <c r="B117" s="28"/>
      <c r="C117" s="28"/>
      <c r="D117" s="29">
        <f t="shared" si="3"/>
        <v>0</v>
      </c>
      <c r="E117" s="28"/>
      <c r="F117" s="28"/>
      <c r="G117" s="29">
        <f t="shared" si="1"/>
        <v>0</v>
      </c>
      <c r="H117" s="30">
        <v>500</v>
      </c>
      <c r="I117" s="19">
        <f t="shared" si="2"/>
        <v>0</v>
      </c>
    </row>
    <row r="118" spans="1:9" x14ac:dyDescent="0.3">
      <c r="A118" s="28" t="s">
        <v>334</v>
      </c>
      <c r="B118" s="28">
        <v>9</v>
      </c>
      <c r="C118" s="28"/>
      <c r="D118" s="29">
        <f t="shared" si="3"/>
        <v>9</v>
      </c>
      <c r="E118" s="28"/>
      <c r="F118" s="28"/>
      <c r="G118" s="29">
        <f t="shared" si="1"/>
        <v>9</v>
      </c>
      <c r="H118" s="30">
        <v>650</v>
      </c>
      <c r="I118" s="19">
        <f t="shared" si="2"/>
        <v>5850</v>
      </c>
    </row>
    <row r="119" spans="1:9" x14ac:dyDescent="0.3">
      <c r="A119" s="28" t="s">
        <v>342</v>
      </c>
      <c r="B119" s="28"/>
      <c r="C119" s="28"/>
      <c r="D119" s="29">
        <f t="shared" si="3"/>
        <v>0</v>
      </c>
      <c r="E119" s="28"/>
      <c r="F119" s="28"/>
      <c r="G119" s="29">
        <f t="shared" si="1"/>
        <v>0</v>
      </c>
      <c r="H119" s="30">
        <v>1600</v>
      </c>
      <c r="I119" s="19">
        <f t="shared" si="2"/>
        <v>0</v>
      </c>
    </row>
    <row r="120" spans="1:9" x14ac:dyDescent="0.3">
      <c r="A120" s="28" t="s">
        <v>365</v>
      </c>
      <c r="B120" s="28"/>
      <c r="C120" s="28"/>
      <c r="D120" s="29">
        <f t="shared" si="3"/>
        <v>0</v>
      </c>
      <c r="E120" s="28"/>
      <c r="F120" s="28"/>
      <c r="G120" s="29">
        <f t="shared" si="1"/>
        <v>0</v>
      </c>
      <c r="H120" s="30">
        <v>1200</v>
      </c>
      <c r="I120" s="19">
        <f t="shared" si="2"/>
        <v>0</v>
      </c>
    </row>
    <row r="121" spans="1:9" x14ac:dyDescent="0.3">
      <c r="A121" s="28"/>
      <c r="B121" s="28"/>
      <c r="C121" s="28"/>
      <c r="D121" s="29">
        <f t="shared" si="3"/>
        <v>0</v>
      </c>
      <c r="E121" s="28"/>
      <c r="F121" s="28"/>
      <c r="G121" s="29">
        <f t="shared" si="1"/>
        <v>0</v>
      </c>
      <c r="H121" s="30"/>
      <c r="I121" s="19">
        <f t="shared" si="2"/>
        <v>0</v>
      </c>
    </row>
    <row r="122" spans="1:9" x14ac:dyDescent="0.3">
      <c r="A122" s="24" t="s">
        <v>22</v>
      </c>
      <c r="B122" s="28"/>
      <c r="C122" s="28"/>
      <c r="D122" s="29">
        <f t="shared" si="3"/>
        <v>0</v>
      </c>
      <c r="E122" s="28"/>
      <c r="F122" s="28"/>
      <c r="G122" s="29">
        <f>D122-E122-F122</f>
        <v>0</v>
      </c>
      <c r="H122" s="30"/>
      <c r="I122" s="19">
        <f t="shared" si="2"/>
        <v>0</v>
      </c>
    </row>
    <row r="123" spans="1:9" x14ac:dyDescent="0.3">
      <c r="A123" s="28" t="s">
        <v>23</v>
      </c>
      <c r="B123" s="28"/>
      <c r="C123" s="28"/>
      <c r="D123" s="29">
        <f t="shared" si="3"/>
        <v>0</v>
      </c>
      <c r="E123" s="28"/>
      <c r="F123" s="28"/>
      <c r="G123" s="29">
        <f>D123-E123-F123</f>
        <v>0</v>
      </c>
      <c r="H123" s="30">
        <v>13</v>
      </c>
      <c r="I123" s="19">
        <f t="shared" si="2"/>
        <v>0</v>
      </c>
    </row>
    <row r="124" spans="1:9" x14ac:dyDescent="0.3">
      <c r="A124" s="28" t="s">
        <v>268</v>
      </c>
      <c r="B124" s="28">
        <v>70</v>
      </c>
      <c r="C124" s="28"/>
      <c r="D124" s="29">
        <f t="shared" si="3"/>
        <v>70</v>
      </c>
      <c r="E124" s="28"/>
      <c r="F124" s="28"/>
      <c r="G124" s="29">
        <f t="shared" si="1"/>
        <v>70</v>
      </c>
      <c r="H124" s="30">
        <v>410</v>
      </c>
      <c r="I124" s="19">
        <f t="shared" si="2"/>
        <v>28700</v>
      </c>
    </row>
    <row r="125" spans="1:9" x14ac:dyDescent="0.3">
      <c r="A125" s="28" t="s">
        <v>24</v>
      </c>
      <c r="B125" s="28"/>
      <c r="C125" s="28"/>
      <c r="D125" s="29">
        <f t="shared" si="3"/>
        <v>0</v>
      </c>
      <c r="E125" s="28"/>
      <c r="F125" s="28"/>
      <c r="G125" s="29">
        <f t="shared" si="1"/>
        <v>0</v>
      </c>
      <c r="H125" s="30">
        <v>8</v>
      </c>
      <c r="I125" s="19">
        <f t="shared" si="2"/>
        <v>0</v>
      </c>
    </row>
    <row r="126" spans="1:9" x14ac:dyDescent="0.3">
      <c r="A126" s="28" t="s">
        <v>258</v>
      </c>
      <c r="B126" s="28">
        <v>2500</v>
      </c>
      <c r="C126" s="28"/>
      <c r="D126" s="29">
        <f t="shared" si="3"/>
        <v>2500</v>
      </c>
      <c r="E126" s="28"/>
      <c r="F126" s="28"/>
      <c r="G126" s="29">
        <f t="shared" si="1"/>
        <v>2500</v>
      </c>
      <c r="H126" s="30">
        <v>8</v>
      </c>
      <c r="I126" s="19">
        <f t="shared" si="2"/>
        <v>20000</v>
      </c>
    </row>
    <row r="127" spans="1:9" x14ac:dyDescent="0.3">
      <c r="A127" s="28" t="s">
        <v>25</v>
      </c>
      <c r="B127" s="28"/>
      <c r="C127" s="28"/>
      <c r="D127" s="29">
        <f t="shared" si="3"/>
        <v>0</v>
      </c>
      <c r="E127" s="28"/>
      <c r="F127" s="28"/>
      <c r="G127" s="29">
        <f t="shared" si="1"/>
        <v>0</v>
      </c>
      <c r="H127" s="30">
        <v>600</v>
      </c>
      <c r="I127" s="19">
        <f t="shared" si="2"/>
        <v>0</v>
      </c>
    </row>
    <row r="128" spans="1:9" x14ac:dyDescent="0.3">
      <c r="A128" s="28" t="s">
        <v>26</v>
      </c>
      <c r="B128" s="28">
        <v>1</v>
      </c>
      <c r="C128" s="28"/>
      <c r="D128" s="29">
        <f t="shared" si="3"/>
        <v>1</v>
      </c>
      <c r="E128" s="28"/>
      <c r="F128" s="28"/>
      <c r="G128" s="29">
        <f t="shared" si="1"/>
        <v>1</v>
      </c>
      <c r="H128" s="30">
        <v>2000</v>
      </c>
      <c r="I128" s="19">
        <f t="shared" si="2"/>
        <v>2000</v>
      </c>
    </row>
    <row r="129" spans="1:9" x14ac:dyDescent="0.3">
      <c r="A129" s="28" t="s">
        <v>27</v>
      </c>
      <c r="B129" s="28"/>
      <c r="C129" s="28"/>
      <c r="D129" s="29">
        <f t="shared" si="3"/>
        <v>0</v>
      </c>
      <c r="E129" s="28"/>
      <c r="F129" s="28"/>
      <c r="G129" s="29">
        <f t="shared" si="1"/>
        <v>0</v>
      </c>
      <c r="H129" s="30"/>
      <c r="I129" s="19">
        <f t="shared" si="2"/>
        <v>0</v>
      </c>
    </row>
    <row r="130" spans="1:9" x14ac:dyDescent="0.3">
      <c r="A130" s="28" t="s">
        <v>28</v>
      </c>
      <c r="B130" s="28">
        <v>10</v>
      </c>
      <c r="C130" s="28"/>
      <c r="D130" s="29">
        <f t="shared" si="3"/>
        <v>10</v>
      </c>
      <c r="E130" s="28"/>
      <c r="F130" s="28"/>
      <c r="G130" s="29">
        <f t="shared" si="1"/>
        <v>10</v>
      </c>
      <c r="H130" s="30">
        <v>50</v>
      </c>
      <c r="I130" s="19">
        <f t="shared" si="2"/>
        <v>500</v>
      </c>
    </row>
    <row r="131" spans="1:9" x14ac:dyDescent="0.3">
      <c r="A131" s="28" t="s">
        <v>29</v>
      </c>
      <c r="B131" s="28">
        <v>24</v>
      </c>
      <c r="C131" s="28"/>
      <c r="D131" s="29">
        <f t="shared" si="3"/>
        <v>24</v>
      </c>
      <c r="E131" s="28"/>
      <c r="F131" s="28"/>
      <c r="G131" s="29">
        <f t="shared" si="1"/>
        <v>24</v>
      </c>
      <c r="H131" s="30">
        <v>2200</v>
      </c>
      <c r="I131" s="19">
        <f t="shared" si="2"/>
        <v>52800</v>
      </c>
    </row>
    <row r="132" spans="1:9" x14ac:dyDescent="0.3">
      <c r="A132" s="28" t="s">
        <v>30</v>
      </c>
      <c r="B132" s="28">
        <v>22</v>
      </c>
      <c r="C132" s="28"/>
      <c r="D132" s="29">
        <f t="shared" si="3"/>
        <v>22</v>
      </c>
      <c r="E132" s="28"/>
      <c r="F132" s="28"/>
      <c r="G132" s="29">
        <f t="shared" ref="G132:G223" si="4">D132-E132-F132</f>
        <v>22</v>
      </c>
      <c r="H132" s="30">
        <v>600</v>
      </c>
      <c r="I132" s="19">
        <f t="shared" si="2"/>
        <v>13200</v>
      </c>
    </row>
    <row r="133" spans="1:9" x14ac:dyDescent="0.3">
      <c r="A133" s="28" t="s">
        <v>31</v>
      </c>
      <c r="B133" s="28">
        <v>4</v>
      </c>
      <c r="C133" s="28"/>
      <c r="D133" s="29">
        <f t="shared" si="3"/>
        <v>4</v>
      </c>
      <c r="E133" s="28"/>
      <c r="F133" s="28"/>
      <c r="G133" s="29">
        <f t="shared" si="4"/>
        <v>4</v>
      </c>
      <c r="H133" s="31">
        <v>750</v>
      </c>
      <c r="I133" s="19">
        <f t="shared" si="2"/>
        <v>3000</v>
      </c>
    </row>
    <row r="134" spans="1:9" x14ac:dyDescent="0.3">
      <c r="A134" s="28" t="s">
        <v>82</v>
      </c>
      <c r="B134" s="28">
        <v>9</v>
      </c>
      <c r="C134" s="28"/>
      <c r="D134" s="29">
        <f t="shared" si="3"/>
        <v>9</v>
      </c>
      <c r="E134" s="28"/>
      <c r="F134" s="28"/>
      <c r="G134" s="29">
        <f t="shared" si="4"/>
        <v>9</v>
      </c>
      <c r="H134" s="30">
        <v>500</v>
      </c>
      <c r="I134" s="19">
        <f t="shared" ref="I134:I197" si="5">G134*H134</f>
        <v>4500</v>
      </c>
    </row>
    <row r="135" spans="1:9" x14ac:dyDescent="0.3">
      <c r="A135" s="28" t="s">
        <v>84</v>
      </c>
      <c r="B135" s="28"/>
      <c r="C135" s="28"/>
      <c r="D135" s="29">
        <f t="shared" si="3"/>
        <v>0</v>
      </c>
      <c r="E135" s="28"/>
      <c r="F135" s="28"/>
      <c r="G135" s="29">
        <f t="shared" si="4"/>
        <v>0</v>
      </c>
      <c r="H135" s="30">
        <v>700</v>
      </c>
      <c r="I135" s="19">
        <f t="shared" si="5"/>
        <v>0</v>
      </c>
    </row>
    <row r="136" spans="1:9" x14ac:dyDescent="0.3">
      <c r="A136" s="28" t="s">
        <v>91</v>
      </c>
      <c r="B136" s="28"/>
      <c r="C136" s="28"/>
      <c r="D136" s="29">
        <f t="shared" si="3"/>
        <v>0</v>
      </c>
      <c r="E136" s="28"/>
      <c r="F136" s="28"/>
      <c r="G136" s="29">
        <f t="shared" si="4"/>
        <v>0</v>
      </c>
      <c r="H136" s="31">
        <v>150</v>
      </c>
      <c r="I136" s="19">
        <f t="shared" si="5"/>
        <v>0</v>
      </c>
    </row>
    <row r="137" spans="1:9" x14ac:dyDescent="0.3">
      <c r="A137" s="28" t="s">
        <v>83</v>
      </c>
      <c r="B137" s="28"/>
      <c r="C137" s="28"/>
      <c r="D137" s="29">
        <f t="shared" si="3"/>
        <v>0</v>
      </c>
      <c r="E137" s="28"/>
      <c r="F137" s="28"/>
      <c r="G137" s="29">
        <f t="shared" si="4"/>
        <v>0</v>
      </c>
      <c r="H137" s="31">
        <v>650</v>
      </c>
      <c r="I137" s="19">
        <f t="shared" si="5"/>
        <v>0</v>
      </c>
    </row>
    <row r="138" spans="1:9" x14ac:dyDescent="0.3">
      <c r="A138" s="28" t="s">
        <v>204</v>
      </c>
      <c r="B138" s="28"/>
      <c r="C138" s="28"/>
      <c r="D138" s="29">
        <f t="shared" si="3"/>
        <v>0</v>
      </c>
      <c r="E138" s="28"/>
      <c r="F138" s="28"/>
      <c r="G138" s="29">
        <f t="shared" si="4"/>
        <v>0</v>
      </c>
      <c r="H138" s="31">
        <v>300</v>
      </c>
      <c r="I138" s="19">
        <f t="shared" si="5"/>
        <v>0</v>
      </c>
    </row>
    <row r="139" spans="1:9" x14ac:dyDescent="0.3">
      <c r="A139" s="28" t="s">
        <v>94</v>
      </c>
      <c r="B139" s="28"/>
      <c r="C139" s="28"/>
      <c r="D139" s="29">
        <f t="shared" si="3"/>
        <v>0</v>
      </c>
      <c r="E139" s="28"/>
      <c r="F139" s="28"/>
      <c r="G139" s="29">
        <f t="shared" si="4"/>
        <v>0</v>
      </c>
      <c r="H139" s="31">
        <v>400</v>
      </c>
      <c r="I139" s="19">
        <f t="shared" si="5"/>
        <v>0</v>
      </c>
    </row>
    <row r="140" spans="1:9" x14ac:dyDescent="0.3">
      <c r="A140" s="28" t="s">
        <v>49</v>
      </c>
      <c r="B140" s="28">
        <v>80</v>
      </c>
      <c r="C140" s="28"/>
      <c r="D140" s="29">
        <f t="shared" si="3"/>
        <v>80</v>
      </c>
      <c r="E140" s="28"/>
      <c r="F140" s="28"/>
      <c r="G140" s="29">
        <f t="shared" si="4"/>
        <v>80</v>
      </c>
      <c r="H140" s="30">
        <v>1900</v>
      </c>
      <c r="I140" s="19">
        <f t="shared" si="5"/>
        <v>152000</v>
      </c>
    </row>
    <row r="141" spans="1:9" x14ac:dyDescent="0.3">
      <c r="A141" s="28" t="s">
        <v>123</v>
      </c>
      <c r="B141" s="28"/>
      <c r="C141" s="28"/>
      <c r="D141" s="29">
        <f t="shared" si="3"/>
        <v>0</v>
      </c>
      <c r="E141" s="28"/>
      <c r="F141" s="28"/>
      <c r="G141" s="29">
        <f t="shared" si="4"/>
        <v>0</v>
      </c>
      <c r="H141" s="30">
        <v>1400</v>
      </c>
      <c r="I141" s="19">
        <f t="shared" si="5"/>
        <v>0</v>
      </c>
    </row>
    <row r="142" spans="1:9" x14ac:dyDescent="0.3">
      <c r="A142" s="28" t="s">
        <v>218</v>
      </c>
      <c r="B142" s="28"/>
      <c r="C142" s="28"/>
      <c r="D142" s="29">
        <f t="shared" si="3"/>
        <v>0</v>
      </c>
      <c r="E142" s="28"/>
      <c r="F142" s="28"/>
      <c r="G142" s="29">
        <f t="shared" si="4"/>
        <v>0</v>
      </c>
      <c r="H142" s="30"/>
      <c r="I142" s="19">
        <f t="shared" si="5"/>
        <v>0</v>
      </c>
    </row>
    <row r="143" spans="1:9" x14ac:dyDescent="0.3">
      <c r="A143" s="28" t="s">
        <v>219</v>
      </c>
      <c r="B143" s="28">
        <v>90</v>
      </c>
      <c r="C143" s="28"/>
      <c r="D143" s="29">
        <f t="shared" si="3"/>
        <v>90</v>
      </c>
      <c r="E143" s="28"/>
      <c r="F143" s="28"/>
      <c r="G143" s="29">
        <f t="shared" si="4"/>
        <v>90</v>
      </c>
      <c r="H143" s="30">
        <v>2000</v>
      </c>
      <c r="I143" s="19">
        <f t="shared" si="5"/>
        <v>180000</v>
      </c>
    </row>
    <row r="144" spans="1:9" x14ac:dyDescent="0.3">
      <c r="A144" s="28" t="s">
        <v>175</v>
      </c>
      <c r="B144" s="28"/>
      <c r="C144" s="28"/>
      <c r="D144" s="29">
        <f t="shared" si="3"/>
        <v>0</v>
      </c>
      <c r="E144" s="28"/>
      <c r="F144" s="28"/>
      <c r="G144" s="29">
        <f t="shared" si="4"/>
        <v>0</v>
      </c>
      <c r="H144" s="30"/>
      <c r="I144" s="19">
        <f t="shared" si="5"/>
        <v>0</v>
      </c>
    </row>
    <row r="145" spans="1:9" x14ac:dyDescent="0.3">
      <c r="A145" s="28" t="s">
        <v>176</v>
      </c>
      <c r="B145" s="28"/>
      <c r="C145" s="28"/>
      <c r="D145" s="29">
        <f t="shared" si="3"/>
        <v>0</v>
      </c>
      <c r="E145" s="28"/>
      <c r="F145" s="28"/>
      <c r="G145" s="29">
        <f t="shared" si="4"/>
        <v>0</v>
      </c>
      <c r="H145" s="30"/>
      <c r="I145" s="19">
        <f t="shared" si="5"/>
        <v>0</v>
      </c>
    </row>
    <row r="146" spans="1:9" x14ac:dyDescent="0.3">
      <c r="A146" s="28" t="s">
        <v>419</v>
      </c>
      <c r="B146" s="28"/>
      <c r="C146" s="28"/>
      <c r="D146" s="29">
        <f t="shared" si="3"/>
        <v>0</v>
      </c>
      <c r="E146" s="28"/>
      <c r="F146" s="28"/>
      <c r="G146" s="29">
        <f t="shared" si="4"/>
        <v>0</v>
      </c>
      <c r="H146" s="30">
        <v>16</v>
      </c>
      <c r="I146" s="19">
        <f t="shared" si="5"/>
        <v>0</v>
      </c>
    </row>
    <row r="147" spans="1:9" x14ac:dyDescent="0.3">
      <c r="A147" s="28" t="s">
        <v>182</v>
      </c>
      <c r="B147" s="28"/>
      <c r="C147" s="28"/>
      <c r="D147" s="29">
        <f t="shared" si="3"/>
        <v>0</v>
      </c>
      <c r="E147" s="28"/>
      <c r="F147" s="28"/>
      <c r="G147" s="29">
        <f t="shared" si="4"/>
        <v>0</v>
      </c>
      <c r="H147" s="30">
        <v>1000</v>
      </c>
      <c r="I147" s="19">
        <f t="shared" si="5"/>
        <v>0</v>
      </c>
    </row>
    <row r="148" spans="1:9" x14ac:dyDescent="0.3">
      <c r="A148" s="28" t="s">
        <v>183</v>
      </c>
      <c r="B148" s="28"/>
      <c r="C148" s="28"/>
      <c r="D148" s="29">
        <f t="shared" si="3"/>
        <v>0</v>
      </c>
      <c r="E148" s="28"/>
      <c r="F148" s="28"/>
      <c r="G148" s="29">
        <f t="shared" si="4"/>
        <v>0</v>
      </c>
      <c r="H148" s="30">
        <v>500</v>
      </c>
      <c r="I148" s="19">
        <f t="shared" si="5"/>
        <v>0</v>
      </c>
    </row>
    <row r="149" spans="1:9" x14ac:dyDescent="0.3">
      <c r="A149" s="28" t="s">
        <v>184</v>
      </c>
      <c r="B149" s="28">
        <v>5</v>
      </c>
      <c r="C149" s="28"/>
      <c r="D149" s="29">
        <f t="shared" si="3"/>
        <v>5</v>
      </c>
      <c r="E149" s="28"/>
      <c r="F149" s="28"/>
      <c r="G149" s="29">
        <f t="shared" si="4"/>
        <v>5</v>
      </c>
      <c r="H149" s="30">
        <v>400</v>
      </c>
      <c r="I149" s="19">
        <f t="shared" si="5"/>
        <v>2000</v>
      </c>
    </row>
    <row r="150" spans="1:9" x14ac:dyDescent="0.3">
      <c r="A150" s="28" t="s">
        <v>187</v>
      </c>
      <c r="B150" s="28"/>
      <c r="C150" s="28"/>
      <c r="D150" s="29">
        <f t="shared" si="3"/>
        <v>0</v>
      </c>
      <c r="E150" s="28"/>
      <c r="F150" s="28"/>
      <c r="G150" s="29">
        <f t="shared" si="4"/>
        <v>0</v>
      </c>
      <c r="H150" s="30"/>
      <c r="I150" s="19">
        <f t="shared" si="5"/>
        <v>0</v>
      </c>
    </row>
    <row r="151" spans="1:9" x14ac:dyDescent="0.3">
      <c r="A151" s="28" t="s">
        <v>366</v>
      </c>
      <c r="B151" s="28"/>
      <c r="C151" s="28"/>
      <c r="D151" s="29">
        <f t="shared" si="3"/>
        <v>0</v>
      </c>
      <c r="E151" s="28"/>
      <c r="F151" s="28"/>
      <c r="G151" s="29">
        <f t="shared" si="4"/>
        <v>0</v>
      </c>
      <c r="H151" s="30">
        <v>750</v>
      </c>
      <c r="I151" s="19">
        <f t="shared" si="5"/>
        <v>0</v>
      </c>
    </row>
    <row r="152" spans="1:9" x14ac:dyDescent="0.3">
      <c r="A152" s="28" t="s">
        <v>240</v>
      </c>
      <c r="B152" s="28"/>
      <c r="C152" s="28"/>
      <c r="D152" s="29">
        <f t="shared" si="3"/>
        <v>0</v>
      </c>
      <c r="E152" s="28"/>
      <c r="F152" s="28"/>
      <c r="G152" s="29">
        <f t="shared" si="4"/>
        <v>0</v>
      </c>
      <c r="H152" s="30">
        <v>360</v>
      </c>
      <c r="I152" s="19">
        <f t="shared" si="5"/>
        <v>0</v>
      </c>
    </row>
    <row r="153" spans="1:9" x14ac:dyDescent="0.3">
      <c r="A153" s="28" t="s">
        <v>198</v>
      </c>
      <c r="B153" s="28">
        <v>11</v>
      </c>
      <c r="C153" s="28"/>
      <c r="D153" s="29">
        <f t="shared" si="3"/>
        <v>11</v>
      </c>
      <c r="E153" s="28"/>
      <c r="F153" s="28"/>
      <c r="G153" s="29">
        <f t="shared" si="4"/>
        <v>11</v>
      </c>
      <c r="H153" s="30">
        <v>610</v>
      </c>
      <c r="I153" s="19">
        <f t="shared" si="5"/>
        <v>6710</v>
      </c>
    </row>
    <row r="154" spans="1:9" x14ac:dyDescent="0.3">
      <c r="A154" s="28" t="s">
        <v>77</v>
      </c>
      <c r="B154" s="28"/>
      <c r="C154" s="28"/>
      <c r="D154" s="29">
        <f t="shared" si="3"/>
        <v>0</v>
      </c>
      <c r="E154" s="28"/>
      <c r="F154" s="28"/>
      <c r="G154" s="29">
        <f t="shared" si="4"/>
        <v>0</v>
      </c>
      <c r="H154" s="30">
        <v>5</v>
      </c>
      <c r="I154" s="19">
        <f t="shared" si="5"/>
        <v>0</v>
      </c>
    </row>
    <row r="155" spans="1:9" x14ac:dyDescent="0.3">
      <c r="A155" s="28" t="s">
        <v>361</v>
      </c>
      <c r="B155" s="28"/>
      <c r="C155" s="28"/>
      <c r="D155" s="29">
        <f t="shared" si="3"/>
        <v>0</v>
      </c>
      <c r="E155" s="28"/>
      <c r="F155" s="28"/>
      <c r="G155" s="29">
        <f t="shared" si="4"/>
        <v>0</v>
      </c>
      <c r="H155" s="30">
        <v>1500</v>
      </c>
      <c r="I155" s="19">
        <f t="shared" si="5"/>
        <v>0</v>
      </c>
    </row>
    <row r="156" spans="1:9" x14ac:dyDescent="0.3">
      <c r="A156" s="28" t="s">
        <v>259</v>
      </c>
      <c r="B156" s="28"/>
      <c r="C156" s="28"/>
      <c r="D156" s="29">
        <f t="shared" si="3"/>
        <v>0</v>
      </c>
      <c r="E156" s="28"/>
      <c r="F156" s="28"/>
      <c r="G156" s="29">
        <f t="shared" si="4"/>
        <v>0</v>
      </c>
      <c r="H156" s="30">
        <v>200</v>
      </c>
      <c r="I156" s="19">
        <f t="shared" si="5"/>
        <v>0</v>
      </c>
    </row>
    <row r="157" spans="1:9" x14ac:dyDescent="0.3">
      <c r="A157" s="28" t="s">
        <v>286</v>
      </c>
      <c r="B157" s="28"/>
      <c r="C157" s="28"/>
      <c r="D157" s="29">
        <f t="shared" si="3"/>
        <v>0</v>
      </c>
      <c r="E157" s="28"/>
      <c r="F157" s="28"/>
      <c r="G157" s="29">
        <f t="shared" si="4"/>
        <v>0</v>
      </c>
      <c r="H157" s="30">
        <v>250</v>
      </c>
      <c r="I157" s="19">
        <f t="shared" si="5"/>
        <v>0</v>
      </c>
    </row>
    <row r="158" spans="1:9" x14ac:dyDescent="0.3">
      <c r="A158" s="28" t="s">
        <v>327</v>
      </c>
      <c r="B158" s="28"/>
      <c r="C158" s="28"/>
      <c r="D158" s="29">
        <f t="shared" si="3"/>
        <v>0</v>
      </c>
      <c r="E158" s="28"/>
      <c r="F158" s="28"/>
      <c r="G158" s="29">
        <f t="shared" si="4"/>
        <v>0</v>
      </c>
      <c r="H158" s="30">
        <v>1200</v>
      </c>
      <c r="I158" s="19">
        <f t="shared" si="5"/>
        <v>0</v>
      </c>
    </row>
    <row r="159" spans="1:9" x14ac:dyDescent="0.3">
      <c r="A159" s="28" t="s">
        <v>367</v>
      </c>
      <c r="B159" s="28">
        <v>10</v>
      </c>
      <c r="C159" s="28"/>
      <c r="D159" s="29">
        <f t="shared" si="3"/>
        <v>10</v>
      </c>
      <c r="E159" s="28"/>
      <c r="F159" s="28"/>
      <c r="G159" s="29">
        <f t="shared" si="4"/>
        <v>10</v>
      </c>
      <c r="H159" s="30">
        <v>230</v>
      </c>
      <c r="I159" s="19">
        <f t="shared" si="5"/>
        <v>2300</v>
      </c>
    </row>
    <row r="160" spans="1:9" x14ac:dyDescent="0.3">
      <c r="A160" s="28" t="s">
        <v>399</v>
      </c>
      <c r="B160" s="28"/>
      <c r="C160" s="28"/>
      <c r="D160" s="29">
        <f t="shared" si="3"/>
        <v>0</v>
      </c>
      <c r="E160" s="28"/>
      <c r="F160" s="28"/>
      <c r="G160" s="29">
        <f t="shared" si="4"/>
        <v>0</v>
      </c>
      <c r="H160" s="30">
        <v>25</v>
      </c>
      <c r="I160" s="19">
        <f t="shared" si="5"/>
        <v>0</v>
      </c>
    </row>
    <row r="161" spans="1:9" x14ac:dyDescent="0.3">
      <c r="A161" s="28"/>
      <c r="B161" s="28"/>
      <c r="C161" s="28"/>
      <c r="D161" s="29"/>
      <c r="E161" s="28"/>
      <c r="F161" s="28"/>
      <c r="G161" s="29"/>
      <c r="H161" s="30"/>
      <c r="I161" s="19">
        <f t="shared" si="5"/>
        <v>0</v>
      </c>
    </row>
    <row r="162" spans="1:9" x14ac:dyDescent="0.3">
      <c r="A162" s="24" t="s">
        <v>32</v>
      </c>
      <c r="B162" s="28"/>
      <c r="C162" s="28"/>
      <c r="D162" s="29">
        <f t="shared" si="3"/>
        <v>0</v>
      </c>
      <c r="E162" s="28"/>
      <c r="F162" s="28"/>
      <c r="G162" s="29">
        <f t="shared" si="4"/>
        <v>0</v>
      </c>
      <c r="H162" s="30"/>
      <c r="I162" s="19">
        <f t="shared" si="5"/>
        <v>0</v>
      </c>
    </row>
    <row r="163" spans="1:9" x14ac:dyDescent="0.3">
      <c r="A163" s="28" t="s">
        <v>33</v>
      </c>
      <c r="B163" s="28">
        <v>10</v>
      </c>
      <c r="C163" s="28"/>
      <c r="D163" s="29">
        <f t="shared" si="3"/>
        <v>10</v>
      </c>
      <c r="E163" s="28"/>
      <c r="F163" s="28"/>
      <c r="G163" s="29">
        <f t="shared" si="4"/>
        <v>10</v>
      </c>
      <c r="H163" s="30">
        <v>500</v>
      </c>
      <c r="I163" s="19">
        <f t="shared" si="5"/>
        <v>5000</v>
      </c>
    </row>
    <row r="164" spans="1:9" x14ac:dyDescent="0.3">
      <c r="A164" s="28" t="s">
        <v>34</v>
      </c>
      <c r="B164" s="28">
        <v>5</v>
      </c>
      <c r="C164" s="28"/>
      <c r="D164" s="29">
        <f t="shared" si="3"/>
        <v>5</v>
      </c>
      <c r="E164" s="28"/>
      <c r="F164" s="28"/>
      <c r="G164" s="29">
        <f t="shared" si="4"/>
        <v>5</v>
      </c>
      <c r="H164" s="30">
        <v>100</v>
      </c>
      <c r="I164" s="19">
        <f t="shared" si="5"/>
        <v>500</v>
      </c>
    </row>
    <row r="165" spans="1:9" x14ac:dyDescent="0.3">
      <c r="A165" s="28" t="s">
        <v>122</v>
      </c>
      <c r="B165" s="28">
        <v>3</v>
      </c>
      <c r="C165" s="28"/>
      <c r="D165" s="29">
        <f t="shared" si="3"/>
        <v>3</v>
      </c>
      <c r="E165" s="28"/>
      <c r="F165" s="28"/>
      <c r="G165" s="29">
        <f t="shared" si="4"/>
        <v>3</v>
      </c>
      <c r="H165" s="30">
        <v>200</v>
      </c>
      <c r="I165" s="19">
        <f t="shared" si="5"/>
        <v>600</v>
      </c>
    </row>
    <row r="166" spans="1:9" x14ac:dyDescent="0.3">
      <c r="A166" s="28" t="s">
        <v>143</v>
      </c>
      <c r="B166" s="28"/>
      <c r="C166" s="28"/>
      <c r="D166" s="29">
        <f t="shared" si="3"/>
        <v>0</v>
      </c>
      <c r="E166" s="28"/>
      <c r="F166" s="28"/>
      <c r="G166" s="29">
        <f t="shared" si="4"/>
        <v>0</v>
      </c>
      <c r="H166" s="30">
        <v>900</v>
      </c>
      <c r="I166" s="19">
        <f t="shared" si="5"/>
        <v>0</v>
      </c>
    </row>
    <row r="167" spans="1:9" x14ac:dyDescent="0.3">
      <c r="A167" s="28" t="s">
        <v>151</v>
      </c>
      <c r="B167" s="28"/>
      <c r="C167" s="28"/>
      <c r="D167" s="29">
        <f t="shared" si="3"/>
        <v>0</v>
      </c>
      <c r="E167" s="28"/>
      <c r="F167" s="28"/>
      <c r="G167" s="29">
        <f t="shared" si="4"/>
        <v>0</v>
      </c>
      <c r="H167" s="30">
        <v>45</v>
      </c>
      <c r="I167" s="19">
        <f t="shared" si="5"/>
        <v>0</v>
      </c>
    </row>
    <row r="168" spans="1:9" x14ac:dyDescent="0.3">
      <c r="A168" s="28" t="s">
        <v>186</v>
      </c>
      <c r="B168" s="28"/>
      <c r="C168" s="28"/>
      <c r="D168" s="29">
        <f t="shared" si="3"/>
        <v>0</v>
      </c>
      <c r="E168" s="28"/>
      <c r="F168" s="28"/>
      <c r="G168" s="29">
        <f t="shared" si="4"/>
        <v>0</v>
      </c>
      <c r="H168" s="30"/>
      <c r="I168" s="19">
        <f t="shared" si="5"/>
        <v>0</v>
      </c>
    </row>
    <row r="169" spans="1:9" x14ac:dyDescent="0.3">
      <c r="A169" s="28" t="s">
        <v>207</v>
      </c>
      <c r="B169" s="28">
        <v>10</v>
      </c>
      <c r="C169" s="28"/>
      <c r="D169" s="29">
        <f t="shared" si="3"/>
        <v>10</v>
      </c>
      <c r="E169" s="28"/>
      <c r="F169" s="28"/>
      <c r="G169" s="29">
        <f t="shared" si="4"/>
        <v>10</v>
      </c>
      <c r="H169" s="30">
        <v>850</v>
      </c>
      <c r="I169" s="19">
        <f t="shared" si="5"/>
        <v>8500</v>
      </c>
    </row>
    <row r="170" spans="1:9" x14ac:dyDescent="0.3">
      <c r="A170" s="28" t="s">
        <v>44</v>
      </c>
      <c r="B170" s="28"/>
      <c r="C170" s="28"/>
      <c r="D170" s="29">
        <f t="shared" si="3"/>
        <v>0</v>
      </c>
      <c r="E170" s="28"/>
      <c r="F170" s="28"/>
      <c r="G170" s="29">
        <f t="shared" si="4"/>
        <v>0</v>
      </c>
      <c r="H170" s="30">
        <v>100</v>
      </c>
      <c r="I170" s="19">
        <f t="shared" si="5"/>
        <v>0</v>
      </c>
    </row>
    <row r="171" spans="1:9" x14ac:dyDescent="0.3">
      <c r="A171" s="28" t="s">
        <v>264</v>
      </c>
      <c r="B171" s="28"/>
      <c r="C171" s="28"/>
      <c r="D171" s="29">
        <f t="shared" si="3"/>
        <v>0</v>
      </c>
      <c r="E171" s="28"/>
      <c r="F171" s="28"/>
      <c r="G171" s="29">
        <f t="shared" si="4"/>
        <v>0</v>
      </c>
      <c r="H171" s="30">
        <v>25</v>
      </c>
      <c r="I171" s="19">
        <f t="shared" si="5"/>
        <v>0</v>
      </c>
    </row>
    <row r="172" spans="1:9" x14ac:dyDescent="0.3">
      <c r="A172" s="28" t="s">
        <v>346</v>
      </c>
      <c r="B172" s="28">
        <v>5</v>
      </c>
      <c r="C172" s="28"/>
      <c r="D172" s="29">
        <f t="shared" si="3"/>
        <v>5</v>
      </c>
      <c r="E172" s="28"/>
      <c r="F172" s="28"/>
      <c r="G172" s="29">
        <f t="shared" si="4"/>
        <v>5</v>
      </c>
      <c r="H172" s="30">
        <v>650</v>
      </c>
      <c r="I172" s="19">
        <f t="shared" si="5"/>
        <v>3250</v>
      </c>
    </row>
    <row r="173" spans="1:9" x14ac:dyDescent="0.3">
      <c r="A173" s="28" t="s">
        <v>407</v>
      </c>
      <c r="B173" s="28"/>
      <c r="C173" s="28"/>
      <c r="D173" s="29">
        <f t="shared" si="3"/>
        <v>0</v>
      </c>
      <c r="E173" s="28"/>
      <c r="F173" s="28"/>
      <c r="G173" s="29">
        <f t="shared" si="4"/>
        <v>0</v>
      </c>
      <c r="H173" s="30">
        <v>500</v>
      </c>
      <c r="I173" s="19">
        <f t="shared" si="5"/>
        <v>0</v>
      </c>
    </row>
    <row r="174" spans="1:9" x14ac:dyDescent="0.3">
      <c r="A174" s="24" t="s">
        <v>35</v>
      </c>
      <c r="B174" s="28"/>
      <c r="C174" s="28"/>
      <c r="D174" s="29">
        <f t="shared" ref="D174:D242" si="6">B174+C174</f>
        <v>0</v>
      </c>
      <c r="E174" s="28"/>
      <c r="F174" s="28"/>
      <c r="G174" s="29">
        <f t="shared" si="4"/>
        <v>0</v>
      </c>
      <c r="H174" s="30"/>
      <c r="I174" s="19">
        <f t="shared" si="5"/>
        <v>0</v>
      </c>
    </row>
    <row r="175" spans="1:9" x14ac:dyDescent="0.3">
      <c r="A175" s="28" t="s">
        <v>220</v>
      </c>
      <c r="B175" s="28"/>
      <c r="C175" s="28"/>
      <c r="D175" s="29">
        <f t="shared" si="6"/>
        <v>0</v>
      </c>
      <c r="E175" s="28"/>
      <c r="F175" s="28"/>
      <c r="G175" s="29">
        <f t="shared" si="4"/>
        <v>0</v>
      </c>
      <c r="H175" s="30">
        <v>100</v>
      </c>
      <c r="I175" s="19">
        <f t="shared" si="5"/>
        <v>0</v>
      </c>
    </row>
    <row r="176" spans="1:9" x14ac:dyDescent="0.3">
      <c r="A176" s="28" t="s">
        <v>81</v>
      </c>
      <c r="B176" s="28"/>
      <c r="C176" s="28"/>
      <c r="D176" s="29">
        <f t="shared" si="6"/>
        <v>0</v>
      </c>
      <c r="E176" s="28"/>
      <c r="F176" s="28"/>
      <c r="G176" s="29">
        <f t="shared" si="4"/>
        <v>0</v>
      </c>
      <c r="H176" s="30">
        <v>70</v>
      </c>
      <c r="I176" s="19">
        <f t="shared" si="5"/>
        <v>0</v>
      </c>
    </row>
    <row r="177" spans="1:9" x14ac:dyDescent="0.3">
      <c r="A177" s="28" t="s">
        <v>36</v>
      </c>
      <c r="B177" s="28"/>
      <c r="C177" s="28"/>
      <c r="D177" s="29">
        <f t="shared" si="6"/>
        <v>0</v>
      </c>
      <c r="E177" s="28"/>
      <c r="F177" s="28"/>
      <c r="G177" s="29">
        <f t="shared" si="4"/>
        <v>0</v>
      </c>
      <c r="H177" s="30">
        <v>1000</v>
      </c>
      <c r="I177" s="19">
        <f t="shared" si="5"/>
        <v>0</v>
      </c>
    </row>
    <row r="178" spans="1:9" x14ac:dyDescent="0.3">
      <c r="A178" s="28" t="s">
        <v>37</v>
      </c>
      <c r="B178" s="28"/>
      <c r="C178" s="28"/>
      <c r="D178" s="29">
        <f t="shared" si="6"/>
        <v>0</v>
      </c>
      <c r="E178" s="28"/>
      <c r="F178" s="28"/>
      <c r="G178" s="29">
        <f t="shared" si="4"/>
        <v>0</v>
      </c>
      <c r="H178" s="30">
        <v>120</v>
      </c>
      <c r="I178" s="19">
        <f t="shared" si="5"/>
        <v>0</v>
      </c>
    </row>
    <row r="179" spans="1:9" x14ac:dyDescent="0.3">
      <c r="A179" s="28" t="s">
        <v>357</v>
      </c>
      <c r="B179" s="28">
        <v>4</v>
      </c>
      <c r="C179" s="28"/>
      <c r="D179" s="29">
        <f t="shared" si="6"/>
        <v>4</v>
      </c>
      <c r="E179" s="28"/>
      <c r="F179" s="28"/>
      <c r="G179" s="29">
        <f t="shared" si="4"/>
        <v>4</v>
      </c>
      <c r="H179" s="31">
        <v>100</v>
      </c>
      <c r="I179" s="19">
        <f t="shared" si="5"/>
        <v>400</v>
      </c>
    </row>
    <row r="180" spans="1:9" x14ac:dyDescent="0.3">
      <c r="A180" s="28"/>
      <c r="B180" s="28"/>
      <c r="C180" s="28"/>
      <c r="D180" s="29">
        <f t="shared" si="6"/>
        <v>0</v>
      </c>
      <c r="E180" s="28"/>
      <c r="F180" s="28"/>
      <c r="G180" s="29">
        <f t="shared" si="4"/>
        <v>0</v>
      </c>
      <c r="H180" s="30">
        <v>300</v>
      </c>
      <c r="I180" s="19">
        <f t="shared" si="5"/>
        <v>0</v>
      </c>
    </row>
    <row r="181" spans="1:9" x14ac:dyDescent="0.3">
      <c r="A181" s="28"/>
      <c r="B181" s="28"/>
      <c r="C181" s="28"/>
      <c r="D181" s="29">
        <f t="shared" si="6"/>
        <v>0</v>
      </c>
      <c r="E181" s="28"/>
      <c r="F181" s="28"/>
      <c r="G181" s="29">
        <f t="shared" si="4"/>
        <v>0</v>
      </c>
      <c r="H181" s="30"/>
      <c r="I181" s="19"/>
    </row>
    <row r="182" spans="1:9" x14ac:dyDescent="0.3">
      <c r="A182" s="24" t="s">
        <v>320</v>
      </c>
      <c r="B182" s="28"/>
      <c r="C182" s="28"/>
      <c r="D182" s="29">
        <f t="shared" si="6"/>
        <v>0</v>
      </c>
      <c r="E182" s="28"/>
      <c r="F182" s="28"/>
      <c r="G182" s="29">
        <f t="shared" si="4"/>
        <v>0</v>
      </c>
      <c r="H182" s="30"/>
      <c r="I182" s="19"/>
    </row>
    <row r="183" spans="1:9" x14ac:dyDescent="0.3">
      <c r="A183" s="28" t="s">
        <v>51</v>
      </c>
      <c r="B183" s="28">
        <v>2</v>
      </c>
      <c r="C183" s="28"/>
      <c r="D183" s="29">
        <f t="shared" si="6"/>
        <v>2</v>
      </c>
      <c r="E183" s="28"/>
      <c r="F183" s="28"/>
      <c r="G183" s="29">
        <f t="shared" si="4"/>
        <v>2</v>
      </c>
      <c r="H183" s="30">
        <v>130</v>
      </c>
      <c r="I183" s="19">
        <f t="shared" si="5"/>
        <v>260</v>
      </c>
    </row>
    <row r="184" spans="1:9" x14ac:dyDescent="0.3">
      <c r="A184" s="28"/>
      <c r="B184" s="28"/>
      <c r="C184" s="28"/>
      <c r="D184" s="29">
        <f t="shared" si="6"/>
        <v>0</v>
      </c>
      <c r="E184" s="28"/>
      <c r="F184" s="28"/>
      <c r="G184" s="29">
        <f t="shared" si="4"/>
        <v>0</v>
      </c>
      <c r="H184" s="30"/>
      <c r="I184" s="19">
        <f t="shared" si="5"/>
        <v>0</v>
      </c>
    </row>
    <row r="185" spans="1:9" x14ac:dyDescent="0.3">
      <c r="A185" s="24" t="s">
        <v>70</v>
      </c>
      <c r="B185" s="28"/>
      <c r="C185" s="28"/>
      <c r="D185" s="29">
        <f t="shared" si="6"/>
        <v>0</v>
      </c>
      <c r="E185" s="28"/>
      <c r="F185" s="28"/>
      <c r="G185" s="29">
        <f t="shared" si="4"/>
        <v>0</v>
      </c>
      <c r="H185" s="30"/>
      <c r="I185" s="19">
        <f t="shared" si="5"/>
        <v>0</v>
      </c>
    </row>
    <row r="186" spans="1:9" x14ac:dyDescent="0.3">
      <c r="A186" s="28" t="s">
        <v>248</v>
      </c>
      <c r="B186" s="28"/>
      <c r="C186" s="28"/>
      <c r="D186" s="29">
        <f t="shared" si="6"/>
        <v>0</v>
      </c>
      <c r="E186" s="28"/>
      <c r="F186" s="28"/>
      <c r="G186" s="29">
        <f t="shared" si="4"/>
        <v>0</v>
      </c>
      <c r="H186" s="30">
        <v>700</v>
      </c>
      <c r="I186" s="19">
        <f t="shared" si="5"/>
        <v>0</v>
      </c>
    </row>
    <row r="187" spans="1:9" x14ac:dyDescent="0.3">
      <c r="A187" s="28" t="s">
        <v>249</v>
      </c>
      <c r="B187" s="28">
        <v>8</v>
      </c>
      <c r="C187" s="28"/>
      <c r="D187" s="29">
        <f t="shared" si="6"/>
        <v>8</v>
      </c>
      <c r="E187" s="28"/>
      <c r="F187" s="28"/>
      <c r="G187" s="29">
        <f t="shared" si="4"/>
        <v>8</v>
      </c>
      <c r="H187" s="30">
        <v>650</v>
      </c>
      <c r="I187" s="19">
        <f t="shared" si="5"/>
        <v>5200</v>
      </c>
    </row>
    <row r="188" spans="1:9" x14ac:dyDescent="0.3">
      <c r="A188" s="28" t="s">
        <v>38</v>
      </c>
      <c r="B188" s="28">
        <v>8</v>
      </c>
      <c r="C188" s="28"/>
      <c r="D188" s="29">
        <f t="shared" si="6"/>
        <v>8</v>
      </c>
      <c r="E188" s="28"/>
      <c r="F188" s="28"/>
      <c r="G188" s="29">
        <f t="shared" si="4"/>
        <v>8</v>
      </c>
      <c r="H188" s="30">
        <v>300</v>
      </c>
      <c r="I188" s="19">
        <f t="shared" si="5"/>
        <v>2400</v>
      </c>
    </row>
    <row r="189" spans="1:9" x14ac:dyDescent="0.3">
      <c r="A189" s="28" t="s">
        <v>39</v>
      </c>
      <c r="B189" s="28"/>
      <c r="C189" s="28"/>
      <c r="D189" s="29">
        <f t="shared" si="6"/>
        <v>0</v>
      </c>
      <c r="E189" s="28"/>
      <c r="F189" s="28"/>
      <c r="G189" s="29">
        <f t="shared" si="4"/>
        <v>0</v>
      </c>
      <c r="H189" s="30">
        <v>12</v>
      </c>
      <c r="I189" s="19">
        <f t="shared" si="5"/>
        <v>0</v>
      </c>
    </row>
    <row r="190" spans="1:9" x14ac:dyDescent="0.3">
      <c r="A190" s="28" t="s">
        <v>40</v>
      </c>
      <c r="B190" s="28"/>
      <c r="C190" s="28"/>
      <c r="D190" s="29">
        <f t="shared" si="6"/>
        <v>0</v>
      </c>
      <c r="E190" s="28"/>
      <c r="F190" s="28"/>
      <c r="G190" s="29">
        <f t="shared" si="4"/>
        <v>0</v>
      </c>
      <c r="H190" s="30">
        <v>700</v>
      </c>
      <c r="I190" s="19">
        <f t="shared" si="5"/>
        <v>0</v>
      </c>
    </row>
    <row r="191" spans="1:9" x14ac:dyDescent="0.3">
      <c r="A191" s="28" t="s">
        <v>41</v>
      </c>
      <c r="B191" s="28"/>
      <c r="C191" s="28"/>
      <c r="D191" s="29">
        <f t="shared" si="6"/>
        <v>0</v>
      </c>
      <c r="E191" s="28"/>
      <c r="F191" s="28"/>
      <c r="G191" s="29">
        <f t="shared" si="4"/>
        <v>0</v>
      </c>
      <c r="H191" s="30"/>
      <c r="I191" s="19">
        <f t="shared" si="5"/>
        <v>0</v>
      </c>
    </row>
    <row r="192" spans="1:9" x14ac:dyDescent="0.3">
      <c r="A192" s="28" t="s">
        <v>118</v>
      </c>
      <c r="B192" s="28"/>
      <c r="C192" s="28"/>
      <c r="D192" s="29">
        <f t="shared" si="6"/>
        <v>0</v>
      </c>
      <c r="E192" s="28"/>
      <c r="F192" s="28"/>
      <c r="G192" s="29">
        <f t="shared" si="4"/>
        <v>0</v>
      </c>
      <c r="H192" s="30">
        <v>650</v>
      </c>
      <c r="I192" s="19">
        <f t="shared" si="5"/>
        <v>0</v>
      </c>
    </row>
    <row r="193" spans="1:14" x14ac:dyDescent="0.3">
      <c r="A193" s="28" t="s">
        <v>137</v>
      </c>
      <c r="B193" s="28">
        <v>66</v>
      </c>
      <c r="C193" s="28"/>
      <c r="D193" s="29">
        <f t="shared" si="6"/>
        <v>66</v>
      </c>
      <c r="E193" s="28"/>
      <c r="F193" s="28"/>
      <c r="G193" s="29">
        <f t="shared" si="4"/>
        <v>66</v>
      </c>
      <c r="H193" s="30">
        <v>600</v>
      </c>
      <c r="I193" s="19">
        <f t="shared" si="5"/>
        <v>39600</v>
      </c>
    </row>
    <row r="194" spans="1:14" x14ac:dyDescent="0.3">
      <c r="A194" s="28" t="s">
        <v>201</v>
      </c>
      <c r="B194" s="28">
        <v>27</v>
      </c>
      <c r="C194" s="28"/>
      <c r="D194" s="29">
        <f t="shared" si="6"/>
        <v>27</v>
      </c>
      <c r="E194" s="28"/>
      <c r="F194" s="28"/>
      <c r="G194" s="29">
        <f t="shared" si="4"/>
        <v>27</v>
      </c>
      <c r="H194" s="30">
        <v>600</v>
      </c>
      <c r="I194" s="19">
        <f t="shared" si="5"/>
        <v>16200</v>
      </c>
      <c r="N194" s="17">
        <f>17000/24</f>
        <v>708.33333333333337</v>
      </c>
    </row>
    <row r="195" spans="1:14" x14ac:dyDescent="0.3">
      <c r="A195" s="28" t="s">
        <v>142</v>
      </c>
      <c r="B195" s="28">
        <v>1</v>
      </c>
      <c r="C195" s="28"/>
      <c r="D195" s="29">
        <f t="shared" si="6"/>
        <v>1</v>
      </c>
      <c r="E195" s="28"/>
      <c r="F195" s="28"/>
      <c r="G195" s="29">
        <f t="shared" si="4"/>
        <v>1</v>
      </c>
      <c r="H195" s="30">
        <v>70</v>
      </c>
      <c r="I195" s="19">
        <f t="shared" si="5"/>
        <v>70</v>
      </c>
    </row>
    <row r="196" spans="1:14" x14ac:dyDescent="0.3">
      <c r="A196" s="28" t="s">
        <v>75</v>
      </c>
      <c r="B196" s="28">
        <v>500</v>
      </c>
      <c r="C196" s="28"/>
      <c r="D196" s="29">
        <f t="shared" si="6"/>
        <v>500</v>
      </c>
      <c r="E196" s="28"/>
      <c r="F196" s="28"/>
      <c r="G196" s="29">
        <f t="shared" si="4"/>
        <v>500</v>
      </c>
      <c r="H196" s="30">
        <v>20</v>
      </c>
      <c r="I196" s="19">
        <f t="shared" si="5"/>
        <v>10000</v>
      </c>
    </row>
    <row r="197" spans="1:14" x14ac:dyDescent="0.3">
      <c r="A197" s="28" t="s">
        <v>185</v>
      </c>
      <c r="B197" s="28"/>
      <c r="C197" s="28"/>
      <c r="D197" s="29">
        <f t="shared" si="6"/>
        <v>0</v>
      </c>
      <c r="E197" s="28"/>
      <c r="F197" s="28"/>
      <c r="G197" s="29">
        <f t="shared" si="4"/>
        <v>0</v>
      </c>
      <c r="H197" s="30">
        <v>4.5</v>
      </c>
      <c r="I197" s="19">
        <f t="shared" si="5"/>
        <v>0</v>
      </c>
    </row>
    <row r="198" spans="1:14" x14ac:dyDescent="0.3">
      <c r="A198" s="28" t="s">
        <v>406</v>
      </c>
      <c r="B198" s="28">
        <v>9</v>
      </c>
      <c r="C198" s="28"/>
      <c r="D198" s="29">
        <f t="shared" si="6"/>
        <v>9</v>
      </c>
      <c r="E198" s="28"/>
      <c r="F198" s="28"/>
      <c r="G198" s="29">
        <f t="shared" si="4"/>
        <v>9</v>
      </c>
      <c r="H198" s="30">
        <v>700</v>
      </c>
      <c r="I198" s="19">
        <f t="shared" ref="I198:I291" si="7">G198*H198</f>
        <v>6300</v>
      </c>
    </row>
    <row r="199" spans="1:14" x14ac:dyDescent="0.3">
      <c r="A199" s="28" t="s">
        <v>153</v>
      </c>
      <c r="B199" s="28"/>
      <c r="C199" s="28"/>
      <c r="D199" s="29">
        <f t="shared" si="6"/>
        <v>0</v>
      </c>
      <c r="E199" s="28"/>
      <c r="F199" s="28"/>
      <c r="G199" s="29">
        <f t="shared" si="4"/>
        <v>0</v>
      </c>
      <c r="H199" s="30">
        <v>20</v>
      </c>
      <c r="I199" s="19">
        <f t="shared" si="7"/>
        <v>0</v>
      </c>
    </row>
    <row r="200" spans="1:14" x14ac:dyDescent="0.3">
      <c r="A200" s="28" t="s">
        <v>221</v>
      </c>
      <c r="B200" s="28"/>
      <c r="C200" s="28"/>
      <c r="D200" s="29">
        <f t="shared" si="6"/>
        <v>0</v>
      </c>
      <c r="E200" s="28"/>
      <c r="F200" s="28"/>
      <c r="G200" s="29">
        <f t="shared" si="4"/>
        <v>0</v>
      </c>
      <c r="H200" s="30"/>
      <c r="I200" s="19">
        <f t="shared" si="7"/>
        <v>0</v>
      </c>
    </row>
    <row r="201" spans="1:14" x14ac:dyDescent="0.3">
      <c r="A201" s="28" t="s">
        <v>242</v>
      </c>
      <c r="B201" s="28"/>
      <c r="C201" s="28"/>
      <c r="D201" s="29">
        <f t="shared" si="6"/>
        <v>0</v>
      </c>
      <c r="E201" s="28"/>
      <c r="F201" s="28"/>
      <c r="G201" s="29">
        <f t="shared" si="4"/>
        <v>0</v>
      </c>
      <c r="H201" s="30">
        <v>20</v>
      </c>
      <c r="I201" s="19">
        <f t="shared" si="7"/>
        <v>0</v>
      </c>
    </row>
    <row r="202" spans="1:14" x14ac:dyDescent="0.3">
      <c r="A202" s="28" t="s">
        <v>315</v>
      </c>
      <c r="B202" s="28"/>
      <c r="C202" s="28"/>
      <c r="D202" s="29">
        <f t="shared" si="6"/>
        <v>0</v>
      </c>
      <c r="E202" s="28"/>
      <c r="F202" s="28"/>
      <c r="G202" s="29">
        <f t="shared" si="4"/>
        <v>0</v>
      </c>
      <c r="H202" s="30">
        <v>350</v>
      </c>
      <c r="I202" s="19">
        <f t="shared" si="7"/>
        <v>0</v>
      </c>
    </row>
    <row r="203" spans="1:14" x14ac:dyDescent="0.3">
      <c r="A203" s="28" t="s">
        <v>278</v>
      </c>
      <c r="B203" s="28">
        <v>6</v>
      </c>
      <c r="C203" s="28"/>
      <c r="D203" s="29">
        <f t="shared" si="6"/>
        <v>6</v>
      </c>
      <c r="E203" s="28"/>
      <c r="F203" s="28"/>
      <c r="G203" s="29">
        <f t="shared" si="4"/>
        <v>6</v>
      </c>
      <c r="H203" s="30">
        <v>320</v>
      </c>
      <c r="I203" s="19">
        <v>600</v>
      </c>
    </row>
    <row r="204" spans="1:14" x14ac:dyDescent="0.3">
      <c r="A204" s="28" t="s">
        <v>302</v>
      </c>
      <c r="B204" s="28"/>
      <c r="C204" s="28"/>
      <c r="D204" s="29">
        <f t="shared" si="6"/>
        <v>0</v>
      </c>
      <c r="E204" s="28"/>
      <c r="F204" s="28"/>
      <c r="G204" s="29">
        <f t="shared" si="4"/>
        <v>0</v>
      </c>
      <c r="H204" s="30">
        <v>480</v>
      </c>
      <c r="I204" s="19">
        <f t="shared" si="7"/>
        <v>0</v>
      </c>
    </row>
    <row r="205" spans="1:14" x14ac:dyDescent="0.3">
      <c r="A205" s="28" t="s">
        <v>328</v>
      </c>
      <c r="B205" s="28"/>
      <c r="C205" s="28"/>
      <c r="D205" s="29">
        <f t="shared" si="6"/>
        <v>0</v>
      </c>
      <c r="E205" s="28"/>
      <c r="F205" s="28"/>
      <c r="G205" s="29">
        <f t="shared" si="4"/>
        <v>0</v>
      </c>
      <c r="H205" s="30">
        <v>1585</v>
      </c>
      <c r="I205" s="19">
        <f t="shared" si="7"/>
        <v>0</v>
      </c>
    </row>
    <row r="206" spans="1:14" x14ac:dyDescent="0.3">
      <c r="A206" s="28" t="s">
        <v>329</v>
      </c>
      <c r="B206" s="28"/>
      <c r="C206" s="28"/>
      <c r="D206" s="29">
        <f t="shared" si="6"/>
        <v>0</v>
      </c>
      <c r="E206" s="28"/>
      <c r="F206" s="28"/>
      <c r="G206" s="29">
        <f t="shared" si="4"/>
        <v>0</v>
      </c>
      <c r="H206" s="30">
        <v>750</v>
      </c>
      <c r="I206" s="19">
        <f t="shared" si="7"/>
        <v>0</v>
      </c>
    </row>
    <row r="207" spans="1:14" x14ac:dyDescent="0.3">
      <c r="A207" s="28" t="s">
        <v>368</v>
      </c>
      <c r="B207" s="28">
        <v>6</v>
      </c>
      <c r="C207" s="28"/>
      <c r="D207" s="29">
        <f t="shared" si="6"/>
        <v>6</v>
      </c>
      <c r="E207" s="28"/>
      <c r="F207" s="28"/>
      <c r="G207" s="29">
        <f t="shared" si="4"/>
        <v>6</v>
      </c>
      <c r="H207" s="30">
        <v>400</v>
      </c>
      <c r="I207" s="19">
        <v>800</v>
      </c>
    </row>
    <row r="208" spans="1:14" x14ac:dyDescent="0.3">
      <c r="A208" s="28" t="s">
        <v>347</v>
      </c>
      <c r="B208" s="28"/>
      <c r="C208" s="28"/>
      <c r="D208" s="29">
        <f t="shared" si="6"/>
        <v>0</v>
      </c>
      <c r="E208" s="28"/>
      <c r="F208" s="28"/>
      <c r="G208" s="29">
        <f t="shared" si="4"/>
        <v>0</v>
      </c>
      <c r="H208" s="30">
        <v>2200</v>
      </c>
      <c r="I208" s="19">
        <f t="shared" si="7"/>
        <v>0</v>
      </c>
    </row>
    <row r="209" spans="1:9" x14ac:dyDescent="0.3">
      <c r="A209" s="28" t="s">
        <v>369</v>
      </c>
      <c r="B209" s="28"/>
      <c r="C209" s="28"/>
      <c r="D209" s="29">
        <f t="shared" si="6"/>
        <v>0</v>
      </c>
      <c r="E209" s="28"/>
      <c r="F209" s="28"/>
      <c r="G209" s="29">
        <f t="shared" si="4"/>
        <v>0</v>
      </c>
      <c r="H209" s="30">
        <v>1100</v>
      </c>
      <c r="I209" s="19">
        <f t="shared" si="7"/>
        <v>0</v>
      </c>
    </row>
    <row r="210" spans="1:9" x14ac:dyDescent="0.3">
      <c r="A210" s="28"/>
      <c r="B210" s="28"/>
      <c r="C210" s="28"/>
      <c r="D210" s="29"/>
      <c r="E210" s="28"/>
      <c r="F210" s="28"/>
      <c r="G210" s="29"/>
      <c r="H210" s="30"/>
      <c r="I210" s="19"/>
    </row>
    <row r="211" spans="1:9" x14ac:dyDescent="0.3">
      <c r="A211" s="24" t="s">
        <v>42</v>
      </c>
      <c r="B211" s="28"/>
      <c r="C211" s="28"/>
      <c r="D211" s="29">
        <f t="shared" si="6"/>
        <v>0</v>
      </c>
      <c r="E211" s="28"/>
      <c r="F211" s="28"/>
      <c r="G211" s="29">
        <f t="shared" si="4"/>
        <v>0</v>
      </c>
      <c r="H211" s="30"/>
      <c r="I211" s="19">
        <f t="shared" si="7"/>
        <v>0</v>
      </c>
    </row>
    <row r="212" spans="1:9" x14ac:dyDescent="0.3">
      <c r="A212" s="28" t="s">
        <v>235</v>
      </c>
      <c r="B212" s="28">
        <v>17</v>
      </c>
      <c r="C212" s="28"/>
      <c r="D212" s="29">
        <f t="shared" si="6"/>
        <v>17</v>
      </c>
      <c r="E212" s="28"/>
      <c r="F212" s="28"/>
      <c r="G212" s="29">
        <f t="shared" si="4"/>
        <v>17</v>
      </c>
      <c r="H212" s="30">
        <v>1400</v>
      </c>
      <c r="I212" s="19">
        <f t="shared" si="7"/>
        <v>23800</v>
      </c>
    </row>
    <row r="213" spans="1:9" x14ac:dyDescent="0.3">
      <c r="A213" s="28" t="s">
        <v>43</v>
      </c>
      <c r="B213" s="28">
        <v>73</v>
      </c>
      <c r="C213" s="28"/>
      <c r="D213" s="29">
        <f t="shared" si="6"/>
        <v>73</v>
      </c>
      <c r="E213" s="28"/>
      <c r="F213" s="28"/>
      <c r="G213" s="29">
        <f t="shared" si="4"/>
        <v>73</v>
      </c>
      <c r="H213" s="30">
        <v>600</v>
      </c>
      <c r="I213" s="19">
        <f t="shared" si="7"/>
        <v>43800</v>
      </c>
    </row>
    <row r="214" spans="1:9" x14ac:dyDescent="0.3">
      <c r="A214" s="28" t="s">
        <v>269</v>
      </c>
      <c r="B214" s="28"/>
      <c r="C214" s="28"/>
      <c r="D214" s="29">
        <f t="shared" si="6"/>
        <v>0</v>
      </c>
      <c r="E214" s="28"/>
      <c r="F214" s="28"/>
      <c r="G214" s="29">
        <f t="shared" si="4"/>
        <v>0</v>
      </c>
      <c r="H214" s="30">
        <v>2500</v>
      </c>
      <c r="I214" s="19">
        <f t="shared" si="7"/>
        <v>0</v>
      </c>
    </row>
    <row r="215" spans="1:9" x14ac:dyDescent="0.3">
      <c r="A215" s="28" t="s">
        <v>44</v>
      </c>
      <c r="B215" s="28">
        <v>51</v>
      </c>
      <c r="C215" s="28"/>
      <c r="D215" s="29">
        <f t="shared" si="6"/>
        <v>51</v>
      </c>
      <c r="E215" s="28"/>
      <c r="F215" s="28"/>
      <c r="G215" s="29">
        <f t="shared" si="4"/>
        <v>51</v>
      </c>
      <c r="H215" s="31">
        <v>250</v>
      </c>
      <c r="I215" s="19">
        <f t="shared" si="7"/>
        <v>12750</v>
      </c>
    </row>
    <row r="216" spans="1:9" x14ac:dyDescent="0.3">
      <c r="A216" s="28" t="s">
        <v>45</v>
      </c>
      <c r="B216" s="28">
        <v>34</v>
      </c>
      <c r="C216" s="28"/>
      <c r="D216" s="29">
        <f t="shared" si="6"/>
        <v>34</v>
      </c>
      <c r="E216" s="28"/>
      <c r="F216" s="28"/>
      <c r="G216" s="29">
        <f t="shared" si="4"/>
        <v>34</v>
      </c>
      <c r="H216" s="31">
        <v>600</v>
      </c>
      <c r="I216" s="19">
        <f t="shared" si="7"/>
        <v>20400</v>
      </c>
    </row>
    <row r="217" spans="1:9" x14ac:dyDescent="0.3">
      <c r="A217" s="28" t="s">
        <v>46</v>
      </c>
      <c r="B217" s="28">
        <v>60</v>
      </c>
      <c r="C217" s="28"/>
      <c r="D217" s="29">
        <f t="shared" si="6"/>
        <v>60</v>
      </c>
      <c r="E217" s="28"/>
      <c r="F217" s="28"/>
      <c r="G217" s="29">
        <f t="shared" si="4"/>
        <v>60</v>
      </c>
      <c r="H217" s="30">
        <v>400</v>
      </c>
      <c r="I217" s="19">
        <f t="shared" si="7"/>
        <v>24000</v>
      </c>
    </row>
    <row r="218" spans="1:9" x14ac:dyDescent="0.3">
      <c r="A218" s="28" t="s">
        <v>47</v>
      </c>
      <c r="B218" s="28"/>
      <c r="C218" s="28"/>
      <c r="D218" s="29">
        <f t="shared" si="6"/>
        <v>0</v>
      </c>
      <c r="E218" s="28"/>
      <c r="F218" s="28"/>
      <c r="G218" s="29">
        <f t="shared" si="4"/>
        <v>0</v>
      </c>
      <c r="H218" s="31">
        <v>500</v>
      </c>
      <c r="I218" s="19">
        <f t="shared" si="7"/>
        <v>0</v>
      </c>
    </row>
    <row r="219" spans="1:9" x14ac:dyDescent="0.3">
      <c r="A219" s="28" t="s">
        <v>49</v>
      </c>
      <c r="B219" s="28"/>
      <c r="C219" s="28"/>
      <c r="D219" s="29">
        <f t="shared" si="6"/>
        <v>0</v>
      </c>
      <c r="E219" s="28"/>
      <c r="F219" s="28"/>
      <c r="G219" s="29">
        <f t="shared" si="4"/>
        <v>0</v>
      </c>
      <c r="H219" s="30">
        <v>650</v>
      </c>
      <c r="I219" s="19">
        <f t="shared" si="7"/>
        <v>0</v>
      </c>
    </row>
    <row r="220" spans="1:9" x14ac:dyDescent="0.3">
      <c r="A220" s="28" t="s">
        <v>48</v>
      </c>
      <c r="B220" s="28">
        <v>2</v>
      </c>
      <c r="C220" s="28"/>
      <c r="D220" s="29">
        <f t="shared" si="6"/>
        <v>2</v>
      </c>
      <c r="E220" s="28"/>
      <c r="F220" s="28"/>
      <c r="G220" s="29">
        <f t="shared" si="4"/>
        <v>2</v>
      </c>
      <c r="H220" s="30">
        <v>1400</v>
      </c>
      <c r="I220" s="19">
        <f t="shared" si="7"/>
        <v>2800</v>
      </c>
    </row>
    <row r="221" spans="1:9" x14ac:dyDescent="0.3">
      <c r="A221" s="28" t="s">
        <v>50</v>
      </c>
      <c r="B221" s="28">
        <v>21</v>
      </c>
      <c r="C221" s="28"/>
      <c r="D221" s="29">
        <f t="shared" si="6"/>
        <v>21</v>
      </c>
      <c r="E221" s="28"/>
      <c r="F221" s="28"/>
      <c r="G221" s="29">
        <f t="shared" si="4"/>
        <v>21</v>
      </c>
      <c r="H221" s="30">
        <v>200</v>
      </c>
      <c r="I221" s="19">
        <f t="shared" si="7"/>
        <v>4200</v>
      </c>
    </row>
    <row r="222" spans="1:9" x14ac:dyDescent="0.3">
      <c r="A222" s="28"/>
      <c r="B222" s="28"/>
      <c r="C222" s="28"/>
      <c r="D222" s="29">
        <f t="shared" si="6"/>
        <v>0</v>
      </c>
      <c r="E222" s="28"/>
      <c r="F222" s="28"/>
      <c r="G222" s="29">
        <f t="shared" si="4"/>
        <v>0</v>
      </c>
      <c r="H222" s="30">
        <v>100</v>
      </c>
      <c r="I222" s="19">
        <f t="shared" si="7"/>
        <v>0</v>
      </c>
    </row>
    <row r="223" spans="1:9" x14ac:dyDescent="0.3">
      <c r="A223" s="28" t="s">
        <v>52</v>
      </c>
      <c r="B223" s="28">
        <v>21</v>
      </c>
      <c r="C223" s="28"/>
      <c r="D223" s="29">
        <f t="shared" si="6"/>
        <v>21</v>
      </c>
      <c r="E223" s="28"/>
      <c r="F223" s="28"/>
      <c r="G223" s="29">
        <f t="shared" si="4"/>
        <v>21</v>
      </c>
      <c r="H223" s="30">
        <v>950</v>
      </c>
      <c r="I223" s="19">
        <f t="shared" si="7"/>
        <v>19950</v>
      </c>
    </row>
    <row r="224" spans="1:9" x14ac:dyDescent="0.3">
      <c r="A224" s="28" t="s">
        <v>53</v>
      </c>
      <c r="B224" s="28">
        <v>25</v>
      </c>
      <c r="C224" s="28"/>
      <c r="D224" s="29">
        <f t="shared" si="6"/>
        <v>25</v>
      </c>
      <c r="E224" s="28"/>
      <c r="F224" s="28"/>
      <c r="G224" s="29">
        <f t="shared" ref="G224:G337" si="8">D224-E224-F224</f>
        <v>25</v>
      </c>
      <c r="H224" s="31">
        <v>850</v>
      </c>
      <c r="I224" s="19">
        <f t="shared" si="7"/>
        <v>21250</v>
      </c>
    </row>
    <row r="225" spans="1:9" x14ac:dyDescent="0.3">
      <c r="A225" s="28" t="s">
        <v>54</v>
      </c>
      <c r="B225" s="28"/>
      <c r="C225" s="28"/>
      <c r="D225" s="29">
        <f t="shared" si="6"/>
        <v>0</v>
      </c>
      <c r="E225" s="28"/>
      <c r="F225" s="28"/>
      <c r="G225" s="29">
        <f t="shared" si="8"/>
        <v>0</v>
      </c>
      <c r="H225" s="30"/>
      <c r="I225" s="19">
        <f t="shared" si="7"/>
        <v>0</v>
      </c>
    </row>
    <row r="226" spans="1:9" x14ac:dyDescent="0.3">
      <c r="A226" s="28" t="s">
        <v>233</v>
      </c>
      <c r="B226" s="28"/>
      <c r="C226" s="28"/>
      <c r="D226" s="29">
        <f t="shared" si="6"/>
        <v>0</v>
      </c>
      <c r="E226" s="28"/>
      <c r="F226" s="28"/>
      <c r="G226" s="29">
        <f t="shared" si="8"/>
        <v>0</v>
      </c>
      <c r="H226" s="33">
        <v>1100</v>
      </c>
      <c r="I226" s="19">
        <f t="shared" si="7"/>
        <v>0</v>
      </c>
    </row>
    <row r="227" spans="1:9" x14ac:dyDescent="0.3">
      <c r="A227" s="28" t="s">
        <v>67</v>
      </c>
      <c r="B227" s="28">
        <v>24</v>
      </c>
      <c r="C227" s="28"/>
      <c r="D227" s="29">
        <f t="shared" si="6"/>
        <v>24</v>
      </c>
      <c r="E227" s="28"/>
      <c r="F227" s="28"/>
      <c r="G227" s="29">
        <f t="shared" si="8"/>
        <v>24</v>
      </c>
      <c r="H227" s="30">
        <v>500</v>
      </c>
      <c r="I227" s="19">
        <f t="shared" si="7"/>
        <v>12000</v>
      </c>
    </row>
    <row r="228" spans="1:9" x14ac:dyDescent="0.3">
      <c r="A228" s="28" t="s">
        <v>71</v>
      </c>
      <c r="B228" s="28">
        <v>22</v>
      </c>
      <c r="C228" s="28"/>
      <c r="D228" s="29">
        <f t="shared" si="6"/>
        <v>22</v>
      </c>
      <c r="E228" s="28"/>
      <c r="F228" s="28"/>
      <c r="G228" s="29">
        <f t="shared" si="8"/>
        <v>22</v>
      </c>
      <c r="H228" s="31">
        <v>700</v>
      </c>
      <c r="I228" s="19">
        <f t="shared" si="7"/>
        <v>15400</v>
      </c>
    </row>
    <row r="229" spans="1:9" x14ac:dyDescent="0.3">
      <c r="A229" s="28" t="s">
        <v>72</v>
      </c>
      <c r="B229" s="28">
        <v>5</v>
      </c>
      <c r="C229" s="28"/>
      <c r="D229" s="29">
        <f t="shared" si="6"/>
        <v>5</v>
      </c>
      <c r="E229" s="28"/>
      <c r="F229" s="28"/>
      <c r="G229" s="29">
        <f t="shared" si="8"/>
        <v>5</v>
      </c>
      <c r="H229" s="30">
        <v>70</v>
      </c>
      <c r="I229" s="19">
        <f t="shared" si="7"/>
        <v>350</v>
      </c>
    </row>
    <row r="230" spans="1:9" x14ac:dyDescent="0.3">
      <c r="A230" s="28" t="s">
        <v>73</v>
      </c>
      <c r="B230" s="28">
        <v>7</v>
      </c>
      <c r="C230" s="28"/>
      <c r="D230" s="29">
        <f t="shared" si="6"/>
        <v>7</v>
      </c>
      <c r="E230" s="28"/>
      <c r="F230" s="28"/>
      <c r="G230" s="29">
        <f t="shared" si="8"/>
        <v>7</v>
      </c>
      <c r="H230" s="30">
        <v>600</v>
      </c>
      <c r="I230" s="19">
        <f t="shared" si="7"/>
        <v>4200</v>
      </c>
    </row>
    <row r="231" spans="1:9" x14ac:dyDescent="0.3">
      <c r="A231" s="28" t="s">
        <v>75</v>
      </c>
      <c r="B231" s="28">
        <v>4</v>
      </c>
      <c r="C231" s="28"/>
      <c r="D231" s="29">
        <f t="shared" si="6"/>
        <v>4</v>
      </c>
      <c r="E231" s="28"/>
      <c r="F231" s="28"/>
      <c r="G231" s="29">
        <f t="shared" si="8"/>
        <v>4</v>
      </c>
      <c r="H231" s="31">
        <v>150</v>
      </c>
      <c r="I231" s="19">
        <f t="shared" si="7"/>
        <v>600</v>
      </c>
    </row>
    <row r="232" spans="1:9" x14ac:dyDescent="0.3">
      <c r="A232" s="28" t="s">
        <v>76</v>
      </c>
      <c r="B232" s="28">
        <v>15</v>
      </c>
      <c r="C232" s="28"/>
      <c r="D232" s="29">
        <f t="shared" si="6"/>
        <v>15</v>
      </c>
      <c r="E232" s="28"/>
      <c r="F232" s="28"/>
      <c r="G232" s="29">
        <f t="shared" si="8"/>
        <v>15</v>
      </c>
      <c r="H232" s="31">
        <v>700</v>
      </c>
      <c r="I232" s="19">
        <f t="shared" si="7"/>
        <v>10500</v>
      </c>
    </row>
    <row r="233" spans="1:9" x14ac:dyDescent="0.3">
      <c r="A233" s="28" t="s">
        <v>74</v>
      </c>
      <c r="B233" s="28"/>
      <c r="C233" s="28"/>
      <c r="D233" s="29">
        <f t="shared" si="6"/>
        <v>0</v>
      </c>
      <c r="E233" s="28"/>
      <c r="F233" s="28"/>
      <c r="G233" s="29">
        <f t="shared" si="8"/>
        <v>0</v>
      </c>
      <c r="H233" s="31">
        <v>300</v>
      </c>
      <c r="I233" s="19">
        <f t="shared" si="7"/>
        <v>0</v>
      </c>
    </row>
    <row r="234" spans="1:9" x14ac:dyDescent="0.3">
      <c r="A234" s="28" t="s">
        <v>78</v>
      </c>
      <c r="B234" s="28"/>
      <c r="C234" s="28"/>
      <c r="D234" s="29">
        <f t="shared" si="6"/>
        <v>0</v>
      </c>
      <c r="E234" s="28"/>
      <c r="F234" s="28"/>
      <c r="G234" s="29">
        <f t="shared" si="8"/>
        <v>0</v>
      </c>
      <c r="H234" s="30">
        <v>200</v>
      </c>
      <c r="I234" s="19">
        <f t="shared" si="7"/>
        <v>0</v>
      </c>
    </row>
    <row r="235" spans="1:9" x14ac:dyDescent="0.3">
      <c r="A235" s="28" t="s">
        <v>316</v>
      </c>
      <c r="B235" s="28"/>
      <c r="C235" s="28"/>
      <c r="D235" s="29">
        <f t="shared" si="6"/>
        <v>0</v>
      </c>
      <c r="E235" s="28"/>
      <c r="F235" s="28"/>
      <c r="G235" s="29">
        <f t="shared" si="8"/>
        <v>0</v>
      </c>
      <c r="H235" s="32">
        <v>400</v>
      </c>
      <c r="I235" s="19">
        <f t="shared" si="7"/>
        <v>0</v>
      </c>
    </row>
    <row r="236" spans="1:9" x14ac:dyDescent="0.3">
      <c r="A236" s="28" t="s">
        <v>77</v>
      </c>
      <c r="B236" s="28">
        <v>74</v>
      </c>
      <c r="C236" s="28"/>
      <c r="D236" s="29">
        <f t="shared" si="6"/>
        <v>74</v>
      </c>
      <c r="E236" s="28"/>
      <c r="F236" s="28"/>
      <c r="G236" s="29">
        <f t="shared" si="8"/>
        <v>74</v>
      </c>
      <c r="H236" s="31">
        <v>350</v>
      </c>
      <c r="I236" s="19">
        <f t="shared" si="7"/>
        <v>25900</v>
      </c>
    </row>
    <row r="237" spans="1:9" x14ac:dyDescent="0.3">
      <c r="A237" s="28" t="s">
        <v>80</v>
      </c>
      <c r="B237" s="28">
        <v>11</v>
      </c>
      <c r="C237" s="28"/>
      <c r="D237" s="29">
        <f t="shared" si="6"/>
        <v>11</v>
      </c>
      <c r="E237" s="28"/>
      <c r="F237" s="28"/>
      <c r="G237" s="29">
        <f t="shared" si="8"/>
        <v>11</v>
      </c>
      <c r="H237" s="31">
        <v>190</v>
      </c>
      <c r="I237" s="19">
        <f t="shared" si="7"/>
        <v>2090</v>
      </c>
    </row>
    <row r="238" spans="1:9" x14ac:dyDescent="0.3">
      <c r="A238" s="28"/>
      <c r="B238" s="28"/>
      <c r="C238" s="28"/>
      <c r="D238" s="29">
        <f t="shared" si="6"/>
        <v>0</v>
      </c>
      <c r="E238" s="28"/>
      <c r="F238" s="28"/>
      <c r="G238" s="29">
        <f t="shared" si="8"/>
        <v>0</v>
      </c>
      <c r="H238" s="31">
        <v>600</v>
      </c>
      <c r="I238" s="19">
        <f t="shared" si="7"/>
        <v>0</v>
      </c>
    </row>
    <row r="239" spans="1:9" x14ac:dyDescent="0.3">
      <c r="A239" s="28" t="s">
        <v>154</v>
      </c>
      <c r="B239" s="28"/>
      <c r="C239" s="28"/>
      <c r="D239" s="29">
        <f t="shared" si="6"/>
        <v>0</v>
      </c>
      <c r="E239" s="28"/>
      <c r="F239" s="28"/>
      <c r="G239" s="29">
        <f t="shared" si="8"/>
        <v>0</v>
      </c>
      <c r="H239" s="33">
        <v>500</v>
      </c>
      <c r="I239" s="19">
        <f t="shared" si="7"/>
        <v>0</v>
      </c>
    </row>
    <row r="240" spans="1:9" x14ac:dyDescent="0.3">
      <c r="A240" s="28" t="s">
        <v>155</v>
      </c>
      <c r="B240" s="28">
        <v>75</v>
      </c>
      <c r="C240" s="28"/>
      <c r="D240" s="29">
        <f t="shared" si="6"/>
        <v>75</v>
      </c>
      <c r="E240" s="28"/>
      <c r="F240" s="28"/>
      <c r="G240" s="29">
        <f t="shared" si="8"/>
        <v>75</v>
      </c>
      <c r="H240" s="33">
        <v>300</v>
      </c>
      <c r="I240" s="19">
        <f t="shared" si="7"/>
        <v>22500</v>
      </c>
    </row>
    <row r="241" spans="1:9" x14ac:dyDescent="0.3">
      <c r="A241" s="28" t="s">
        <v>171</v>
      </c>
      <c r="B241" s="28"/>
      <c r="C241" s="28"/>
      <c r="D241" s="29">
        <f t="shared" si="6"/>
        <v>0</v>
      </c>
      <c r="E241" s="28"/>
      <c r="F241" s="28"/>
      <c r="G241" s="29">
        <f t="shared" si="8"/>
        <v>0</v>
      </c>
      <c r="H241" s="33">
        <v>100</v>
      </c>
      <c r="I241" s="19">
        <f t="shared" si="7"/>
        <v>0</v>
      </c>
    </row>
    <row r="242" spans="1:9" x14ac:dyDescent="0.3">
      <c r="A242" s="28" t="s">
        <v>172</v>
      </c>
      <c r="B242" s="28"/>
      <c r="C242" s="28"/>
      <c r="D242" s="29">
        <f t="shared" si="6"/>
        <v>0</v>
      </c>
      <c r="E242" s="28"/>
      <c r="F242" s="28"/>
      <c r="G242" s="29">
        <f t="shared" si="8"/>
        <v>0</v>
      </c>
      <c r="H242" s="33">
        <v>100</v>
      </c>
      <c r="I242" s="19"/>
    </row>
    <row r="243" spans="1:9" x14ac:dyDescent="0.3">
      <c r="A243" s="28" t="s">
        <v>173</v>
      </c>
      <c r="B243" s="28">
        <v>30</v>
      </c>
      <c r="C243" s="28"/>
      <c r="D243" s="29">
        <f t="shared" ref="D243:D330" si="9">B243+C243</f>
        <v>30</v>
      </c>
      <c r="E243" s="28"/>
      <c r="F243" s="28"/>
      <c r="G243" s="29">
        <f t="shared" si="8"/>
        <v>30</v>
      </c>
      <c r="H243" s="33">
        <v>300</v>
      </c>
      <c r="I243" s="19">
        <f t="shared" si="7"/>
        <v>9000</v>
      </c>
    </row>
    <row r="244" spans="1:9" x14ac:dyDescent="0.3">
      <c r="A244" s="28" t="s">
        <v>200</v>
      </c>
      <c r="B244" s="28"/>
      <c r="C244" s="28"/>
      <c r="D244" s="29">
        <f t="shared" si="9"/>
        <v>0</v>
      </c>
      <c r="E244" s="28"/>
      <c r="F244" s="28"/>
      <c r="G244" s="29">
        <f t="shared" si="8"/>
        <v>0</v>
      </c>
      <c r="H244" s="33">
        <v>850</v>
      </c>
      <c r="I244" s="19">
        <f t="shared" si="7"/>
        <v>0</v>
      </c>
    </row>
    <row r="245" spans="1:9" x14ac:dyDescent="0.3">
      <c r="A245" s="28" t="s">
        <v>370</v>
      </c>
      <c r="B245" s="28"/>
      <c r="C245" s="28"/>
      <c r="D245" s="29">
        <f t="shared" si="9"/>
        <v>0</v>
      </c>
      <c r="E245" s="28"/>
      <c r="F245" s="28"/>
      <c r="G245" s="29">
        <f t="shared" si="8"/>
        <v>0</v>
      </c>
      <c r="H245" s="33">
        <v>3000</v>
      </c>
      <c r="I245" s="19">
        <f t="shared" si="7"/>
        <v>0</v>
      </c>
    </row>
    <row r="246" spans="1:9" x14ac:dyDescent="0.3">
      <c r="A246" s="28" t="s">
        <v>75</v>
      </c>
      <c r="B246" s="28"/>
      <c r="C246" s="28"/>
      <c r="D246" s="29">
        <f t="shared" si="9"/>
        <v>0</v>
      </c>
      <c r="E246" s="28"/>
      <c r="F246" s="28"/>
      <c r="G246" s="29">
        <f t="shared" si="8"/>
        <v>0</v>
      </c>
      <c r="H246" s="30">
        <v>300</v>
      </c>
      <c r="I246" s="19">
        <f t="shared" si="7"/>
        <v>0</v>
      </c>
    </row>
    <row r="247" spans="1:9" x14ac:dyDescent="0.3">
      <c r="A247" s="28" t="s">
        <v>307</v>
      </c>
      <c r="B247" s="28"/>
      <c r="C247" s="28"/>
      <c r="D247" s="29">
        <f t="shared" si="9"/>
        <v>0</v>
      </c>
      <c r="E247" s="28"/>
      <c r="F247" s="28"/>
      <c r="G247" s="29">
        <f t="shared" si="8"/>
        <v>0</v>
      </c>
      <c r="H247" s="30">
        <v>850</v>
      </c>
      <c r="I247" s="19">
        <f t="shared" si="7"/>
        <v>0</v>
      </c>
    </row>
    <row r="248" spans="1:9" x14ac:dyDescent="0.3">
      <c r="A248" s="28" t="s">
        <v>279</v>
      </c>
      <c r="B248" s="28"/>
      <c r="C248" s="28"/>
      <c r="D248" s="29">
        <f t="shared" si="9"/>
        <v>0</v>
      </c>
      <c r="E248" s="28"/>
      <c r="F248" s="28"/>
      <c r="G248" s="29">
        <f t="shared" si="8"/>
        <v>0</v>
      </c>
      <c r="H248" s="30">
        <v>650</v>
      </c>
      <c r="I248" s="19">
        <f t="shared" si="7"/>
        <v>0</v>
      </c>
    </row>
    <row r="249" spans="1:9" x14ac:dyDescent="0.3">
      <c r="A249" s="28" t="s">
        <v>222</v>
      </c>
      <c r="B249" s="28">
        <v>6</v>
      </c>
      <c r="C249" s="28"/>
      <c r="D249" s="29">
        <f>B249+C249</f>
        <v>6</v>
      </c>
      <c r="E249" s="28"/>
      <c r="F249" s="28"/>
      <c r="G249" s="29">
        <f t="shared" si="8"/>
        <v>6</v>
      </c>
      <c r="H249" s="30">
        <v>1100</v>
      </c>
      <c r="I249" s="19">
        <f t="shared" si="7"/>
        <v>6600</v>
      </c>
    </row>
    <row r="250" spans="1:9" x14ac:dyDescent="0.3">
      <c r="A250" s="28" t="s">
        <v>371</v>
      </c>
      <c r="B250" s="28"/>
      <c r="C250" s="28"/>
      <c r="D250" s="29">
        <f t="shared" si="9"/>
        <v>0</v>
      </c>
      <c r="E250" s="28"/>
      <c r="F250" s="28"/>
      <c r="G250" s="29">
        <f t="shared" si="8"/>
        <v>0</v>
      </c>
      <c r="H250" s="30">
        <v>600</v>
      </c>
      <c r="I250" s="19">
        <f t="shared" si="7"/>
        <v>0</v>
      </c>
    </row>
    <row r="251" spans="1:9" x14ac:dyDescent="0.3">
      <c r="A251" s="28" t="s">
        <v>188</v>
      </c>
      <c r="B251" s="28">
        <v>12</v>
      </c>
      <c r="C251" s="28"/>
      <c r="D251" s="29">
        <f t="shared" si="9"/>
        <v>12</v>
      </c>
      <c r="E251" s="28"/>
      <c r="F251" s="28"/>
      <c r="G251" s="29">
        <f t="shared" si="8"/>
        <v>12</v>
      </c>
      <c r="H251" s="30">
        <v>1400</v>
      </c>
      <c r="I251" s="19">
        <f t="shared" si="7"/>
        <v>16800</v>
      </c>
    </row>
    <row r="252" spans="1:9" x14ac:dyDescent="0.3">
      <c r="A252" s="28" t="s">
        <v>230</v>
      </c>
      <c r="B252" s="28">
        <v>2</v>
      </c>
      <c r="C252" s="28"/>
      <c r="D252" s="29">
        <f t="shared" si="9"/>
        <v>2</v>
      </c>
      <c r="E252" s="28"/>
      <c r="F252" s="28"/>
      <c r="G252" s="29">
        <f t="shared" si="8"/>
        <v>2</v>
      </c>
      <c r="H252" s="30">
        <v>800</v>
      </c>
      <c r="I252" s="19">
        <f t="shared" si="7"/>
        <v>1600</v>
      </c>
    </row>
    <row r="253" spans="1:9" x14ac:dyDescent="0.3">
      <c r="A253" s="28" t="s">
        <v>245</v>
      </c>
      <c r="B253" s="28"/>
      <c r="C253" s="28"/>
      <c r="D253" s="29">
        <f t="shared" si="9"/>
        <v>0</v>
      </c>
      <c r="E253" s="28"/>
      <c r="F253" s="28"/>
      <c r="G253" s="29">
        <f t="shared" si="8"/>
        <v>0</v>
      </c>
      <c r="H253" s="30">
        <v>750</v>
      </c>
      <c r="I253" s="19">
        <f t="shared" si="7"/>
        <v>0</v>
      </c>
    </row>
    <row r="254" spans="1:9" x14ac:dyDescent="0.3">
      <c r="A254" s="28" t="s">
        <v>250</v>
      </c>
      <c r="B254" s="28"/>
      <c r="C254" s="28"/>
      <c r="D254" s="29">
        <f t="shared" si="9"/>
        <v>0</v>
      </c>
      <c r="E254" s="28"/>
      <c r="F254" s="28"/>
      <c r="G254" s="29"/>
      <c r="H254" s="30">
        <v>1300</v>
      </c>
      <c r="I254" s="19">
        <f t="shared" si="7"/>
        <v>0</v>
      </c>
    </row>
    <row r="255" spans="1:9" x14ac:dyDescent="0.3">
      <c r="A255" s="28" t="s">
        <v>251</v>
      </c>
      <c r="B255" s="28"/>
      <c r="C255" s="28"/>
      <c r="D255" s="29">
        <f t="shared" si="9"/>
        <v>0</v>
      </c>
      <c r="E255" s="28"/>
      <c r="F255" s="28"/>
      <c r="G255" s="29">
        <f t="shared" si="8"/>
        <v>0</v>
      </c>
      <c r="H255" s="30">
        <v>850</v>
      </c>
      <c r="I255" s="19">
        <f t="shared" si="7"/>
        <v>0</v>
      </c>
    </row>
    <row r="256" spans="1:9" x14ac:dyDescent="0.3">
      <c r="A256" s="28" t="s">
        <v>372</v>
      </c>
      <c r="B256" s="28"/>
      <c r="C256" s="28"/>
      <c r="D256" s="29">
        <f t="shared" si="9"/>
        <v>0</v>
      </c>
      <c r="E256" s="28"/>
      <c r="F256" s="28"/>
      <c r="G256" s="29">
        <f t="shared" si="8"/>
        <v>0</v>
      </c>
      <c r="H256" s="30">
        <v>520</v>
      </c>
      <c r="I256" s="19">
        <f t="shared" si="7"/>
        <v>0</v>
      </c>
    </row>
    <row r="257" spans="1:9" x14ac:dyDescent="0.3">
      <c r="A257" s="28" t="s">
        <v>118</v>
      </c>
      <c r="B257" s="28"/>
      <c r="C257" s="28"/>
      <c r="D257" s="29">
        <f t="shared" si="9"/>
        <v>0</v>
      </c>
      <c r="E257" s="28"/>
      <c r="F257" s="28"/>
      <c r="G257" s="29">
        <f t="shared" si="8"/>
        <v>0</v>
      </c>
      <c r="H257" s="30">
        <v>500</v>
      </c>
      <c r="I257" s="19">
        <f t="shared" si="7"/>
        <v>0</v>
      </c>
    </row>
    <row r="258" spans="1:9" x14ac:dyDescent="0.3">
      <c r="A258" s="28" t="s">
        <v>118</v>
      </c>
      <c r="B258" s="28"/>
      <c r="C258" s="28"/>
      <c r="D258" s="29">
        <f t="shared" si="9"/>
        <v>0</v>
      </c>
      <c r="E258" s="28"/>
      <c r="F258" s="28"/>
      <c r="G258" s="29">
        <f t="shared" si="8"/>
        <v>0</v>
      </c>
      <c r="H258" s="30">
        <v>800</v>
      </c>
      <c r="I258" s="19">
        <f t="shared" si="7"/>
        <v>0</v>
      </c>
    </row>
    <row r="259" spans="1:9" x14ac:dyDescent="0.3">
      <c r="A259" s="28" t="s">
        <v>321</v>
      </c>
      <c r="B259" s="28"/>
      <c r="C259" s="28"/>
      <c r="D259" s="29">
        <f t="shared" si="9"/>
        <v>0</v>
      </c>
      <c r="E259" s="28"/>
      <c r="F259" s="28"/>
      <c r="G259" s="29">
        <f t="shared" si="8"/>
        <v>0</v>
      </c>
      <c r="H259" s="30">
        <v>550</v>
      </c>
      <c r="I259" s="19">
        <f t="shared" si="7"/>
        <v>0</v>
      </c>
    </row>
    <row r="260" spans="1:9" x14ac:dyDescent="0.3">
      <c r="A260" s="28" t="s">
        <v>413</v>
      </c>
      <c r="B260" s="28">
        <v>10</v>
      </c>
      <c r="C260" s="28"/>
      <c r="D260" s="29">
        <f t="shared" si="9"/>
        <v>10</v>
      </c>
      <c r="E260" s="28"/>
      <c r="F260" s="28"/>
      <c r="G260" s="29">
        <f t="shared" si="8"/>
        <v>10</v>
      </c>
      <c r="H260" s="30">
        <v>350</v>
      </c>
      <c r="I260" s="19">
        <f t="shared" si="7"/>
        <v>3500</v>
      </c>
    </row>
    <row r="261" spans="1:9" x14ac:dyDescent="0.3">
      <c r="A261" s="28" t="s">
        <v>339</v>
      </c>
      <c r="B261" s="28"/>
      <c r="C261" s="28"/>
      <c r="D261" s="29">
        <f t="shared" si="9"/>
        <v>0</v>
      </c>
      <c r="E261" s="28"/>
      <c r="F261" s="28"/>
      <c r="G261" s="29">
        <f t="shared" si="8"/>
        <v>0</v>
      </c>
      <c r="H261" s="30">
        <v>400</v>
      </c>
      <c r="I261" s="19">
        <f t="shared" si="7"/>
        <v>0</v>
      </c>
    </row>
    <row r="262" spans="1:9" x14ac:dyDescent="0.3">
      <c r="A262" s="24" t="s">
        <v>3</v>
      </c>
      <c r="B262" s="28"/>
      <c r="C262" s="28"/>
      <c r="D262" s="29">
        <f t="shared" si="9"/>
        <v>0</v>
      </c>
      <c r="E262" s="28"/>
      <c r="F262" s="28"/>
      <c r="G262" s="29">
        <f t="shared" si="8"/>
        <v>0</v>
      </c>
      <c r="H262" s="30"/>
      <c r="I262" s="19">
        <f t="shared" si="7"/>
        <v>0</v>
      </c>
    </row>
    <row r="263" spans="1:9" x14ac:dyDescent="0.3">
      <c r="A263" s="28" t="s">
        <v>55</v>
      </c>
      <c r="B263" s="28">
        <v>37</v>
      </c>
      <c r="C263" s="28"/>
      <c r="D263" s="29">
        <f t="shared" si="9"/>
        <v>37</v>
      </c>
      <c r="E263" s="28"/>
      <c r="F263" s="28"/>
      <c r="G263" s="29">
        <f t="shared" si="8"/>
        <v>37</v>
      </c>
      <c r="H263" s="30">
        <v>500</v>
      </c>
      <c r="I263" s="19">
        <f t="shared" si="7"/>
        <v>18500</v>
      </c>
    </row>
    <row r="264" spans="1:9" x14ac:dyDescent="0.3">
      <c r="A264" s="28" t="s">
        <v>360</v>
      </c>
      <c r="B264" s="28">
        <v>32</v>
      </c>
      <c r="C264" s="28"/>
      <c r="D264" s="29">
        <f t="shared" si="9"/>
        <v>32</v>
      </c>
      <c r="E264" s="28"/>
      <c r="F264" s="28"/>
      <c r="G264" s="29">
        <f t="shared" si="8"/>
        <v>32</v>
      </c>
      <c r="H264" s="30">
        <v>600</v>
      </c>
      <c r="I264" s="19">
        <f t="shared" si="7"/>
        <v>19200</v>
      </c>
    </row>
    <row r="265" spans="1:9" x14ac:dyDescent="0.3">
      <c r="A265" s="28" t="s">
        <v>56</v>
      </c>
      <c r="B265" s="28">
        <v>27</v>
      </c>
      <c r="C265" s="28"/>
      <c r="D265" s="29">
        <f t="shared" si="9"/>
        <v>27</v>
      </c>
      <c r="E265" s="28"/>
      <c r="F265" s="28"/>
      <c r="G265" s="29">
        <f t="shared" si="8"/>
        <v>27</v>
      </c>
      <c r="H265" s="30">
        <v>600</v>
      </c>
      <c r="I265" s="19">
        <f t="shared" si="7"/>
        <v>16200</v>
      </c>
    </row>
    <row r="266" spans="1:9" x14ac:dyDescent="0.3">
      <c r="A266" s="28" t="s">
        <v>57</v>
      </c>
      <c r="B266" s="28"/>
      <c r="C266" s="28"/>
      <c r="D266" s="29">
        <f t="shared" si="9"/>
        <v>0</v>
      </c>
      <c r="E266" s="28"/>
      <c r="F266" s="28"/>
      <c r="G266" s="29">
        <f t="shared" si="8"/>
        <v>0</v>
      </c>
      <c r="H266" s="31">
        <v>700</v>
      </c>
      <c r="I266" s="19">
        <f t="shared" si="7"/>
        <v>0</v>
      </c>
    </row>
    <row r="267" spans="1:9" x14ac:dyDescent="0.3">
      <c r="A267" s="28" t="s">
        <v>293</v>
      </c>
      <c r="B267" s="28">
        <v>34</v>
      </c>
      <c r="C267" s="28"/>
      <c r="D267" s="29">
        <f t="shared" si="9"/>
        <v>34</v>
      </c>
      <c r="E267" s="28"/>
      <c r="F267" s="28"/>
      <c r="G267" s="29">
        <f t="shared" si="8"/>
        <v>34</v>
      </c>
      <c r="H267" s="31">
        <v>700</v>
      </c>
      <c r="I267" s="19">
        <f t="shared" si="7"/>
        <v>23800</v>
      </c>
    </row>
    <row r="268" spans="1:9" x14ac:dyDescent="0.3">
      <c r="A268" s="28" t="s">
        <v>294</v>
      </c>
      <c r="B268" s="28">
        <v>15</v>
      </c>
      <c r="C268" s="28"/>
      <c r="D268" s="29">
        <f t="shared" si="9"/>
        <v>15</v>
      </c>
      <c r="E268" s="28"/>
      <c r="F268" s="28"/>
      <c r="G268" s="29">
        <f t="shared" si="8"/>
        <v>15</v>
      </c>
      <c r="H268" s="31">
        <v>700</v>
      </c>
      <c r="I268" s="19">
        <f t="shared" si="7"/>
        <v>10500</v>
      </c>
    </row>
    <row r="269" spans="1:9" x14ac:dyDescent="0.3">
      <c r="A269" s="28" t="s">
        <v>58</v>
      </c>
      <c r="B269" s="28">
        <v>68</v>
      </c>
      <c r="C269" s="28"/>
      <c r="D269" s="29">
        <f t="shared" si="9"/>
        <v>68</v>
      </c>
      <c r="E269" s="28"/>
      <c r="F269" s="28"/>
      <c r="G269" s="29">
        <f t="shared" si="8"/>
        <v>68</v>
      </c>
      <c r="H269" s="31">
        <v>400</v>
      </c>
      <c r="I269" s="19">
        <f t="shared" si="7"/>
        <v>27200</v>
      </c>
    </row>
    <row r="270" spans="1:9" x14ac:dyDescent="0.3">
      <c r="A270" s="28" t="s">
        <v>59</v>
      </c>
      <c r="B270" s="28">
        <v>69</v>
      </c>
      <c r="C270" s="28"/>
      <c r="D270" s="29">
        <f t="shared" si="9"/>
        <v>69</v>
      </c>
      <c r="E270" s="28"/>
      <c r="F270" s="28"/>
      <c r="G270" s="29">
        <f t="shared" si="8"/>
        <v>69</v>
      </c>
      <c r="H270" s="31">
        <v>400</v>
      </c>
      <c r="I270" s="19">
        <f t="shared" si="7"/>
        <v>27600</v>
      </c>
    </row>
    <row r="271" spans="1:9" x14ac:dyDescent="0.3">
      <c r="A271" s="28" t="s">
        <v>60</v>
      </c>
      <c r="B271" s="28">
        <v>14</v>
      </c>
      <c r="C271" s="28"/>
      <c r="D271" s="29">
        <f t="shared" si="9"/>
        <v>14</v>
      </c>
      <c r="E271" s="28"/>
      <c r="F271" s="28"/>
      <c r="G271" s="29">
        <f t="shared" si="8"/>
        <v>14</v>
      </c>
      <c r="H271" s="30">
        <v>600</v>
      </c>
      <c r="I271" s="19">
        <f t="shared" si="7"/>
        <v>8400</v>
      </c>
    </row>
    <row r="272" spans="1:9" x14ac:dyDescent="0.3">
      <c r="A272" s="28" t="s">
        <v>61</v>
      </c>
      <c r="B272" s="28">
        <v>12</v>
      </c>
      <c r="C272" s="28"/>
      <c r="D272" s="29">
        <f t="shared" si="9"/>
        <v>12</v>
      </c>
      <c r="E272" s="28"/>
      <c r="F272" s="28"/>
      <c r="G272" s="29">
        <f t="shared" si="8"/>
        <v>12</v>
      </c>
      <c r="H272" s="30">
        <v>740</v>
      </c>
      <c r="I272" s="19">
        <f t="shared" si="7"/>
        <v>8880</v>
      </c>
    </row>
    <row r="273" spans="1:9" x14ac:dyDescent="0.3">
      <c r="A273" s="28" t="s">
        <v>62</v>
      </c>
      <c r="B273" s="28">
        <v>9</v>
      </c>
      <c r="C273" s="28"/>
      <c r="D273" s="29">
        <f t="shared" si="9"/>
        <v>9</v>
      </c>
      <c r="E273" s="28"/>
      <c r="F273" s="28"/>
      <c r="G273" s="29">
        <f t="shared" si="8"/>
        <v>9</v>
      </c>
      <c r="H273" s="30">
        <v>700</v>
      </c>
      <c r="I273" s="19">
        <f t="shared" si="7"/>
        <v>6300</v>
      </c>
    </row>
    <row r="274" spans="1:9" x14ac:dyDescent="0.3">
      <c r="A274" s="28" t="s">
        <v>68</v>
      </c>
      <c r="B274" s="28">
        <v>7</v>
      </c>
      <c r="C274" s="28"/>
      <c r="D274" s="29">
        <f t="shared" si="9"/>
        <v>7</v>
      </c>
      <c r="E274" s="28"/>
      <c r="F274" s="28"/>
      <c r="G274" s="29">
        <f t="shared" si="8"/>
        <v>7</v>
      </c>
      <c r="H274" s="30">
        <v>700</v>
      </c>
      <c r="I274" s="19">
        <f t="shared" si="7"/>
        <v>4900</v>
      </c>
    </row>
    <row r="275" spans="1:9" x14ac:dyDescent="0.3">
      <c r="A275" s="28" t="s">
        <v>324</v>
      </c>
      <c r="B275" s="28">
        <v>2</v>
      </c>
      <c r="C275" s="28"/>
      <c r="D275" s="29">
        <f t="shared" si="9"/>
        <v>2</v>
      </c>
      <c r="E275" s="28"/>
      <c r="F275" s="28"/>
      <c r="G275" s="29">
        <f t="shared" si="8"/>
        <v>2</v>
      </c>
      <c r="H275" s="30">
        <v>250</v>
      </c>
      <c r="I275" s="19">
        <f t="shared" si="7"/>
        <v>500</v>
      </c>
    </row>
    <row r="276" spans="1:9" x14ac:dyDescent="0.3">
      <c r="A276" s="28" t="s">
        <v>377</v>
      </c>
      <c r="B276" s="28">
        <v>16</v>
      </c>
      <c r="C276" s="28"/>
      <c r="D276" s="29">
        <f t="shared" si="9"/>
        <v>16</v>
      </c>
      <c r="E276" s="28"/>
      <c r="F276" s="28"/>
      <c r="G276" s="29">
        <f t="shared" si="8"/>
        <v>16</v>
      </c>
      <c r="H276" s="30">
        <v>450</v>
      </c>
      <c r="I276" s="19">
        <f t="shared" si="7"/>
        <v>7200</v>
      </c>
    </row>
    <row r="277" spans="1:9" x14ac:dyDescent="0.3">
      <c r="A277" s="28" t="s">
        <v>375</v>
      </c>
      <c r="B277" s="28"/>
      <c r="C277" s="28"/>
      <c r="D277" s="29">
        <f t="shared" si="9"/>
        <v>0</v>
      </c>
      <c r="E277" s="28"/>
      <c r="F277" s="28"/>
      <c r="G277" s="29">
        <f t="shared" si="8"/>
        <v>0</v>
      </c>
      <c r="H277" s="30">
        <v>20000</v>
      </c>
      <c r="I277" s="19">
        <f t="shared" si="7"/>
        <v>0</v>
      </c>
    </row>
    <row r="278" spans="1:9" x14ac:dyDescent="0.3">
      <c r="A278" s="28"/>
      <c r="B278" s="28"/>
      <c r="C278" s="28"/>
      <c r="D278" s="29"/>
      <c r="E278" s="28"/>
      <c r="F278" s="28"/>
      <c r="G278" s="29"/>
      <c r="H278" s="30"/>
      <c r="I278" s="19"/>
    </row>
    <row r="279" spans="1:9" x14ac:dyDescent="0.3">
      <c r="A279" s="24" t="s">
        <v>63</v>
      </c>
      <c r="B279" s="28"/>
      <c r="C279" s="28"/>
      <c r="D279" s="29"/>
      <c r="E279" s="28"/>
      <c r="F279" s="28"/>
      <c r="G279" s="29">
        <f t="shared" si="8"/>
        <v>0</v>
      </c>
      <c r="H279" s="30">
        <v>6000</v>
      </c>
      <c r="I279" s="19">
        <f t="shared" si="7"/>
        <v>0</v>
      </c>
    </row>
    <row r="280" spans="1:9" x14ac:dyDescent="0.3">
      <c r="A280" s="28" t="s">
        <v>64</v>
      </c>
      <c r="B280" s="28"/>
      <c r="C280" s="28"/>
      <c r="D280" s="29">
        <f t="shared" si="9"/>
        <v>0</v>
      </c>
      <c r="E280" s="28"/>
      <c r="F280" s="28"/>
      <c r="G280" s="29">
        <f t="shared" si="8"/>
        <v>0</v>
      </c>
      <c r="H280" s="30">
        <v>280</v>
      </c>
      <c r="I280" s="19">
        <f t="shared" si="7"/>
        <v>0</v>
      </c>
    </row>
    <row r="281" spans="1:9" x14ac:dyDescent="0.3">
      <c r="A281" s="28" t="s">
        <v>174</v>
      </c>
      <c r="B281" s="28"/>
      <c r="C281" s="28"/>
      <c r="D281" s="29">
        <f t="shared" si="9"/>
        <v>0</v>
      </c>
      <c r="E281" s="28"/>
      <c r="F281" s="28"/>
      <c r="G281" s="29">
        <f t="shared" si="8"/>
        <v>0</v>
      </c>
      <c r="H281" s="30">
        <v>2200</v>
      </c>
      <c r="I281" s="19">
        <f t="shared" si="7"/>
        <v>0</v>
      </c>
    </row>
    <row r="282" spans="1:9" x14ac:dyDescent="0.3">
      <c r="A282" s="28" t="s">
        <v>224</v>
      </c>
      <c r="B282" s="28"/>
      <c r="C282" s="28"/>
      <c r="D282" s="29">
        <f t="shared" si="9"/>
        <v>0</v>
      </c>
      <c r="E282" s="28"/>
      <c r="F282" s="28"/>
      <c r="G282" s="29">
        <f t="shared" si="8"/>
        <v>0</v>
      </c>
      <c r="H282" s="30">
        <v>1500</v>
      </c>
      <c r="I282" s="19">
        <f t="shared" si="7"/>
        <v>0</v>
      </c>
    </row>
    <row r="283" spans="1:9" x14ac:dyDescent="0.3">
      <c r="A283" s="28" t="s">
        <v>229</v>
      </c>
      <c r="B283" s="28"/>
      <c r="C283" s="28"/>
      <c r="D283" s="29">
        <f t="shared" si="9"/>
        <v>0</v>
      </c>
      <c r="E283" s="28"/>
      <c r="F283" s="28"/>
      <c r="G283" s="29">
        <f t="shared" si="8"/>
        <v>0</v>
      </c>
      <c r="H283" s="30"/>
      <c r="I283" s="19">
        <f t="shared" si="7"/>
        <v>0</v>
      </c>
    </row>
    <row r="284" spans="1:9" x14ac:dyDescent="0.3">
      <c r="A284" s="28" t="s">
        <v>225</v>
      </c>
      <c r="B284" s="28"/>
      <c r="C284" s="28"/>
      <c r="D284" s="29">
        <f t="shared" si="9"/>
        <v>0</v>
      </c>
      <c r="E284" s="28"/>
      <c r="F284" s="28"/>
      <c r="G284" s="29">
        <f t="shared" si="8"/>
        <v>0</v>
      </c>
      <c r="H284" s="30">
        <v>1000</v>
      </c>
      <c r="I284" s="19">
        <f t="shared" si="7"/>
        <v>0</v>
      </c>
    </row>
    <row r="285" spans="1:9" x14ac:dyDescent="0.3">
      <c r="A285" s="28" t="s">
        <v>243</v>
      </c>
      <c r="B285" s="28"/>
      <c r="C285" s="28"/>
      <c r="D285" s="29">
        <f t="shared" si="9"/>
        <v>0</v>
      </c>
      <c r="E285" s="28"/>
      <c r="F285" s="28"/>
      <c r="G285" s="29">
        <f t="shared" si="8"/>
        <v>0</v>
      </c>
      <c r="H285" s="30"/>
      <c r="I285" s="19">
        <f t="shared" si="7"/>
        <v>0</v>
      </c>
    </row>
    <row r="286" spans="1:9" x14ac:dyDescent="0.3">
      <c r="A286" s="28" t="s">
        <v>263</v>
      </c>
      <c r="B286" s="28"/>
      <c r="C286" s="28"/>
      <c r="D286" s="29">
        <f t="shared" si="9"/>
        <v>0</v>
      </c>
      <c r="E286" s="28"/>
      <c r="F286" s="28"/>
      <c r="G286" s="29">
        <f t="shared" si="8"/>
        <v>0</v>
      </c>
      <c r="H286" s="30">
        <v>200</v>
      </c>
      <c r="I286" s="19">
        <f t="shared" si="7"/>
        <v>0</v>
      </c>
    </row>
    <row r="287" spans="1:9" x14ac:dyDescent="0.3">
      <c r="A287" s="28" t="s">
        <v>295</v>
      </c>
      <c r="B287" s="28"/>
      <c r="C287" s="28"/>
      <c r="D287" s="29">
        <f t="shared" si="9"/>
        <v>0</v>
      </c>
      <c r="E287" s="28"/>
      <c r="F287" s="28"/>
      <c r="G287" s="29">
        <f t="shared" si="8"/>
        <v>0</v>
      </c>
      <c r="H287" s="30">
        <v>6500</v>
      </c>
      <c r="I287" s="19">
        <f t="shared" si="7"/>
        <v>0</v>
      </c>
    </row>
    <row r="288" spans="1:9" x14ac:dyDescent="0.3">
      <c r="A288" s="28" t="s">
        <v>319</v>
      </c>
      <c r="B288" s="28"/>
      <c r="C288" s="28"/>
      <c r="D288" s="29">
        <f t="shared" si="9"/>
        <v>0</v>
      </c>
      <c r="E288" s="28"/>
      <c r="F288" s="28"/>
      <c r="G288" s="29">
        <f t="shared" si="8"/>
        <v>0</v>
      </c>
      <c r="H288" s="30">
        <v>2000</v>
      </c>
      <c r="I288" s="19">
        <f t="shared" si="7"/>
        <v>0</v>
      </c>
    </row>
    <row r="289" spans="1:9" x14ac:dyDescent="0.3">
      <c r="A289" s="28" t="s">
        <v>111</v>
      </c>
      <c r="B289" s="28"/>
      <c r="C289" s="28"/>
      <c r="D289" s="29">
        <f t="shared" si="9"/>
        <v>0</v>
      </c>
      <c r="E289" s="28"/>
      <c r="F289" s="28"/>
      <c r="G289" s="29">
        <f t="shared" si="8"/>
        <v>0</v>
      </c>
      <c r="H289" s="30">
        <v>700</v>
      </c>
      <c r="I289" s="19">
        <f t="shared" si="7"/>
        <v>0</v>
      </c>
    </row>
    <row r="290" spans="1:9" x14ac:dyDescent="0.3">
      <c r="A290" s="28" t="s">
        <v>296</v>
      </c>
      <c r="B290" s="28"/>
      <c r="C290" s="28"/>
      <c r="D290" s="29">
        <f t="shared" si="9"/>
        <v>0</v>
      </c>
      <c r="E290" s="28"/>
      <c r="F290" s="28"/>
      <c r="G290" s="29">
        <f t="shared" si="8"/>
        <v>0</v>
      </c>
      <c r="H290" s="30">
        <v>6000</v>
      </c>
      <c r="I290" s="19">
        <f t="shared" si="7"/>
        <v>0</v>
      </c>
    </row>
    <row r="291" spans="1:9" x14ac:dyDescent="0.3">
      <c r="A291" s="28" t="s">
        <v>373</v>
      </c>
      <c r="B291" s="28"/>
      <c r="C291" s="28"/>
      <c r="D291" s="29">
        <f t="shared" si="9"/>
        <v>0</v>
      </c>
      <c r="E291" s="28"/>
      <c r="F291" s="28"/>
      <c r="G291" s="29">
        <f t="shared" si="8"/>
        <v>0</v>
      </c>
      <c r="H291" s="30">
        <v>65</v>
      </c>
      <c r="I291" s="19">
        <f t="shared" si="7"/>
        <v>0</v>
      </c>
    </row>
    <row r="292" spans="1:9" x14ac:dyDescent="0.3">
      <c r="A292" s="28" t="s">
        <v>376</v>
      </c>
      <c r="B292" s="28"/>
      <c r="C292" s="28"/>
      <c r="D292" s="29">
        <f t="shared" si="9"/>
        <v>0</v>
      </c>
      <c r="E292" s="28"/>
      <c r="F292" s="28"/>
      <c r="G292" s="29">
        <f t="shared" si="8"/>
        <v>0</v>
      </c>
      <c r="H292" s="30">
        <v>38000</v>
      </c>
      <c r="I292" s="19">
        <f t="shared" ref="I292:I375" si="10">G292*H292</f>
        <v>0</v>
      </c>
    </row>
    <row r="293" spans="1:9" x14ac:dyDescent="0.3">
      <c r="A293" s="28" t="s">
        <v>379</v>
      </c>
      <c r="B293" s="28"/>
      <c r="C293" s="28"/>
      <c r="D293" s="29">
        <f t="shared" si="9"/>
        <v>0</v>
      </c>
      <c r="E293" s="28"/>
      <c r="F293" s="28"/>
      <c r="G293" s="29">
        <f t="shared" si="8"/>
        <v>0</v>
      </c>
      <c r="H293" s="30">
        <v>800</v>
      </c>
      <c r="I293" s="19">
        <f t="shared" si="10"/>
        <v>0</v>
      </c>
    </row>
    <row r="294" spans="1:9" x14ac:dyDescent="0.3">
      <c r="A294" s="28" t="s">
        <v>374</v>
      </c>
      <c r="B294" s="28"/>
      <c r="C294" s="28"/>
      <c r="D294" s="29">
        <f t="shared" si="9"/>
        <v>0</v>
      </c>
      <c r="E294" s="28"/>
      <c r="F294" s="28"/>
      <c r="G294" s="29">
        <f t="shared" si="8"/>
        <v>0</v>
      </c>
      <c r="H294" s="30">
        <v>220</v>
      </c>
      <c r="I294" s="19">
        <f t="shared" si="10"/>
        <v>0</v>
      </c>
    </row>
    <row r="295" spans="1:9" x14ac:dyDescent="0.3">
      <c r="A295" s="28" t="s">
        <v>378</v>
      </c>
      <c r="B295" s="28"/>
      <c r="C295" s="28"/>
      <c r="D295" s="29">
        <f t="shared" si="9"/>
        <v>0</v>
      </c>
      <c r="E295" s="29"/>
      <c r="F295" s="28"/>
      <c r="G295" s="29">
        <f t="shared" si="8"/>
        <v>0</v>
      </c>
      <c r="H295" s="30">
        <v>1900</v>
      </c>
      <c r="I295" s="19">
        <f t="shared" si="10"/>
        <v>0</v>
      </c>
    </row>
    <row r="296" spans="1:9" x14ac:dyDescent="0.3">
      <c r="A296" s="28" t="s">
        <v>380</v>
      </c>
      <c r="B296" s="28"/>
      <c r="C296" s="28"/>
      <c r="D296" s="29">
        <f t="shared" si="9"/>
        <v>0</v>
      </c>
      <c r="E296" s="29"/>
      <c r="F296" s="28"/>
      <c r="G296" s="29">
        <f t="shared" si="8"/>
        <v>0</v>
      </c>
      <c r="H296" s="30">
        <v>3000</v>
      </c>
      <c r="I296" s="19">
        <f t="shared" si="10"/>
        <v>0</v>
      </c>
    </row>
    <row r="297" spans="1:9" x14ac:dyDescent="0.3">
      <c r="A297" s="28" t="s">
        <v>381</v>
      </c>
      <c r="B297" s="28"/>
      <c r="C297" s="28"/>
      <c r="D297" s="29">
        <f t="shared" si="9"/>
        <v>0</v>
      </c>
      <c r="E297" s="29"/>
      <c r="F297" s="28"/>
      <c r="G297" s="29">
        <f t="shared" si="8"/>
        <v>0</v>
      </c>
      <c r="H297" s="30">
        <v>3000</v>
      </c>
      <c r="I297" s="19">
        <f t="shared" si="10"/>
        <v>0</v>
      </c>
    </row>
    <row r="298" spans="1:9" x14ac:dyDescent="0.3">
      <c r="A298" s="28" t="s">
        <v>385</v>
      </c>
      <c r="B298" s="28"/>
      <c r="C298" s="28"/>
      <c r="D298" s="29">
        <f t="shared" si="9"/>
        <v>0</v>
      </c>
      <c r="E298" s="29"/>
      <c r="F298" s="28"/>
      <c r="G298" s="29">
        <f t="shared" si="8"/>
        <v>0</v>
      </c>
      <c r="H298" s="30">
        <v>3000</v>
      </c>
      <c r="I298" s="19">
        <f t="shared" si="10"/>
        <v>0</v>
      </c>
    </row>
    <row r="299" spans="1:9" x14ac:dyDescent="0.3">
      <c r="A299" s="28" t="s">
        <v>382</v>
      </c>
      <c r="B299" s="28"/>
      <c r="C299" s="28"/>
      <c r="D299" s="29">
        <f t="shared" si="9"/>
        <v>0</v>
      </c>
      <c r="E299" s="29"/>
      <c r="F299" s="28"/>
      <c r="G299" s="29">
        <f t="shared" si="8"/>
        <v>0</v>
      </c>
      <c r="H299" s="30">
        <v>4000</v>
      </c>
      <c r="I299" s="19">
        <f t="shared" si="10"/>
        <v>0</v>
      </c>
    </row>
    <row r="300" spans="1:9" x14ac:dyDescent="0.3">
      <c r="A300" s="28" t="s">
        <v>383</v>
      </c>
      <c r="B300" s="28"/>
      <c r="C300" s="28"/>
      <c r="D300" s="29">
        <f t="shared" si="9"/>
        <v>0</v>
      </c>
      <c r="E300" s="29"/>
      <c r="F300" s="28"/>
      <c r="G300" s="29">
        <f t="shared" si="8"/>
        <v>0</v>
      </c>
      <c r="H300" s="30">
        <v>13000</v>
      </c>
      <c r="I300" s="19">
        <f t="shared" si="10"/>
        <v>0</v>
      </c>
    </row>
    <row r="301" spans="1:9" x14ac:dyDescent="0.3">
      <c r="A301" s="28" t="s">
        <v>384</v>
      </c>
      <c r="B301" s="28"/>
      <c r="C301" s="28"/>
      <c r="D301" s="29">
        <f t="shared" si="9"/>
        <v>0</v>
      </c>
      <c r="E301" s="29"/>
      <c r="F301" s="28"/>
      <c r="G301" s="29">
        <f t="shared" si="8"/>
        <v>0</v>
      </c>
      <c r="H301" s="30">
        <v>2000</v>
      </c>
      <c r="I301" s="19">
        <f t="shared" si="10"/>
        <v>0</v>
      </c>
    </row>
    <row r="302" spans="1:9" x14ac:dyDescent="0.3">
      <c r="A302" s="28" t="s">
        <v>386</v>
      </c>
      <c r="B302" s="28"/>
      <c r="C302" s="28"/>
      <c r="D302" s="29">
        <f t="shared" si="9"/>
        <v>0</v>
      </c>
      <c r="E302" s="29"/>
      <c r="F302" s="28"/>
      <c r="G302" s="29">
        <f t="shared" si="8"/>
        <v>0</v>
      </c>
      <c r="H302" s="30">
        <v>800</v>
      </c>
      <c r="I302" s="19">
        <f t="shared" si="10"/>
        <v>0</v>
      </c>
    </row>
    <row r="303" spans="1:9" x14ac:dyDescent="0.3">
      <c r="A303" s="28" t="s">
        <v>387</v>
      </c>
      <c r="B303" s="28"/>
      <c r="C303" s="28"/>
      <c r="D303" s="29">
        <f t="shared" si="9"/>
        <v>0</v>
      </c>
      <c r="E303" s="29"/>
      <c r="F303" s="28"/>
      <c r="G303" s="29">
        <f t="shared" si="8"/>
        <v>0</v>
      </c>
      <c r="H303" s="30">
        <v>1400</v>
      </c>
      <c r="I303" s="19">
        <f t="shared" si="10"/>
        <v>0</v>
      </c>
    </row>
    <row r="304" spans="1:9" x14ac:dyDescent="0.3">
      <c r="A304" s="28" t="s">
        <v>411</v>
      </c>
      <c r="B304" s="28"/>
      <c r="C304" s="28"/>
      <c r="D304" s="29">
        <f t="shared" si="9"/>
        <v>0</v>
      </c>
      <c r="E304" s="29"/>
      <c r="F304" s="28"/>
      <c r="G304" s="29">
        <f t="shared" si="8"/>
        <v>0</v>
      </c>
      <c r="H304" s="30">
        <v>1000</v>
      </c>
      <c r="I304" s="19">
        <f t="shared" si="10"/>
        <v>0</v>
      </c>
    </row>
    <row r="305" spans="1:9" x14ac:dyDescent="0.3">
      <c r="A305" s="28"/>
      <c r="B305" s="28"/>
      <c r="C305" s="28"/>
      <c r="D305" s="29">
        <f t="shared" si="9"/>
        <v>0</v>
      </c>
      <c r="E305" s="29"/>
      <c r="F305" s="28"/>
      <c r="G305" s="29">
        <f t="shared" si="8"/>
        <v>0</v>
      </c>
      <c r="H305" s="30"/>
      <c r="I305" s="19"/>
    </row>
    <row r="306" spans="1:9" x14ac:dyDescent="0.3">
      <c r="A306" s="28" t="s">
        <v>388</v>
      </c>
      <c r="B306" s="28"/>
      <c r="C306" s="28"/>
      <c r="D306" s="29">
        <f t="shared" si="9"/>
        <v>0</v>
      </c>
      <c r="E306" s="29"/>
      <c r="F306" s="28"/>
      <c r="G306" s="29">
        <f t="shared" si="8"/>
        <v>0</v>
      </c>
      <c r="H306" s="30">
        <v>3500</v>
      </c>
      <c r="I306" s="19">
        <f t="shared" si="10"/>
        <v>0</v>
      </c>
    </row>
    <row r="307" spans="1:9" x14ac:dyDescent="0.3">
      <c r="A307" s="28" t="s">
        <v>408</v>
      </c>
      <c r="B307" s="28"/>
      <c r="C307" s="28"/>
      <c r="D307" s="29">
        <f t="shared" si="9"/>
        <v>0</v>
      </c>
      <c r="E307" s="29"/>
      <c r="F307" s="28"/>
      <c r="G307" s="29">
        <f t="shared" si="8"/>
        <v>0</v>
      </c>
      <c r="H307" s="30">
        <v>800</v>
      </c>
      <c r="I307" s="19">
        <f t="shared" si="10"/>
        <v>0</v>
      </c>
    </row>
    <row r="308" spans="1:9" x14ac:dyDescent="0.3">
      <c r="A308" s="28" t="s">
        <v>409</v>
      </c>
      <c r="B308" s="28"/>
      <c r="C308" s="28"/>
      <c r="D308" s="29">
        <f t="shared" si="9"/>
        <v>0</v>
      </c>
      <c r="E308" s="29"/>
      <c r="F308" s="28"/>
      <c r="G308" s="29">
        <f t="shared" si="8"/>
        <v>0</v>
      </c>
      <c r="H308" s="30">
        <v>1500</v>
      </c>
      <c r="I308" s="19">
        <f t="shared" si="10"/>
        <v>0</v>
      </c>
    </row>
    <row r="309" spans="1:9" x14ac:dyDescent="0.3">
      <c r="A309" s="28" t="s">
        <v>410</v>
      </c>
      <c r="B309" s="28"/>
      <c r="C309" s="28"/>
      <c r="D309" s="29">
        <f t="shared" si="9"/>
        <v>0</v>
      </c>
      <c r="E309" s="29"/>
      <c r="F309" s="28"/>
      <c r="G309" s="29">
        <f t="shared" si="8"/>
        <v>0</v>
      </c>
      <c r="H309" s="30">
        <v>1500</v>
      </c>
      <c r="I309" s="19">
        <f t="shared" si="10"/>
        <v>0</v>
      </c>
    </row>
    <row r="310" spans="1:9" x14ac:dyDescent="0.3">
      <c r="A310" s="24" t="s">
        <v>65</v>
      </c>
      <c r="B310" s="28"/>
      <c r="C310" s="28"/>
      <c r="D310" s="29">
        <f t="shared" si="9"/>
        <v>0</v>
      </c>
      <c r="E310" s="28"/>
      <c r="F310" s="28"/>
      <c r="G310" s="29">
        <f t="shared" si="8"/>
        <v>0</v>
      </c>
      <c r="H310" s="30"/>
      <c r="I310" s="19">
        <f t="shared" si="10"/>
        <v>0</v>
      </c>
    </row>
    <row r="311" spans="1:9" x14ac:dyDescent="0.3">
      <c r="A311" s="28" t="s">
        <v>304</v>
      </c>
      <c r="B311" s="28"/>
      <c r="C311" s="28"/>
      <c r="D311" s="29">
        <f t="shared" si="9"/>
        <v>0</v>
      </c>
      <c r="E311" s="28"/>
      <c r="F311" s="28"/>
      <c r="G311" s="29">
        <f t="shared" si="8"/>
        <v>0</v>
      </c>
      <c r="H311" s="30">
        <v>60</v>
      </c>
      <c r="I311" s="19">
        <f t="shared" si="10"/>
        <v>0</v>
      </c>
    </row>
    <row r="312" spans="1:9" x14ac:dyDescent="0.3">
      <c r="A312" s="28" t="s">
        <v>66</v>
      </c>
      <c r="B312" s="28"/>
      <c r="C312" s="28"/>
      <c r="D312" s="29">
        <f t="shared" si="9"/>
        <v>0</v>
      </c>
      <c r="E312" s="28"/>
      <c r="F312" s="28"/>
      <c r="G312" s="29">
        <f t="shared" si="8"/>
        <v>0</v>
      </c>
      <c r="H312" s="30">
        <v>250</v>
      </c>
      <c r="I312" s="19">
        <f t="shared" si="10"/>
        <v>0</v>
      </c>
    </row>
    <row r="313" spans="1:9" x14ac:dyDescent="0.3">
      <c r="A313" s="28" t="s">
        <v>149</v>
      </c>
      <c r="B313" s="28"/>
      <c r="C313" s="28"/>
      <c r="D313" s="29">
        <f t="shared" si="9"/>
        <v>0</v>
      </c>
      <c r="E313" s="28"/>
      <c r="F313" s="28"/>
      <c r="G313" s="29">
        <f t="shared" si="8"/>
        <v>0</v>
      </c>
      <c r="H313" s="30">
        <v>400</v>
      </c>
      <c r="I313" s="19">
        <f t="shared" si="10"/>
        <v>0</v>
      </c>
    </row>
    <row r="314" spans="1:9" x14ac:dyDescent="0.3">
      <c r="A314" s="28" t="s">
        <v>148</v>
      </c>
      <c r="B314" s="28"/>
      <c r="C314" s="28"/>
      <c r="D314" s="29">
        <f t="shared" si="9"/>
        <v>0</v>
      </c>
      <c r="E314" s="28"/>
      <c r="F314" s="28"/>
      <c r="G314" s="29">
        <f t="shared" si="8"/>
        <v>0</v>
      </c>
      <c r="H314" s="30">
        <v>500</v>
      </c>
      <c r="I314" s="19">
        <f t="shared" si="10"/>
        <v>0</v>
      </c>
    </row>
    <row r="315" spans="1:9" x14ac:dyDescent="0.3">
      <c r="A315" s="28" t="s">
        <v>100</v>
      </c>
      <c r="B315" s="28"/>
      <c r="C315" s="28"/>
      <c r="D315" s="29">
        <f t="shared" si="9"/>
        <v>0</v>
      </c>
      <c r="E315" s="28"/>
      <c r="F315" s="28"/>
      <c r="G315" s="29">
        <f t="shared" si="8"/>
        <v>0</v>
      </c>
      <c r="H315" s="31">
        <v>45</v>
      </c>
      <c r="I315" s="19">
        <f t="shared" si="10"/>
        <v>0</v>
      </c>
    </row>
    <row r="316" spans="1:9" x14ac:dyDescent="0.3">
      <c r="A316" s="28" t="s">
        <v>101</v>
      </c>
      <c r="B316" s="28"/>
      <c r="C316" s="28"/>
      <c r="D316" s="29">
        <f t="shared" si="9"/>
        <v>0</v>
      </c>
      <c r="E316" s="28"/>
      <c r="F316" s="28"/>
      <c r="G316" s="29">
        <f t="shared" si="8"/>
        <v>0</v>
      </c>
      <c r="H316" s="31">
        <v>45</v>
      </c>
      <c r="I316" s="19">
        <f t="shared" si="10"/>
        <v>0</v>
      </c>
    </row>
    <row r="317" spans="1:9" x14ac:dyDescent="0.3">
      <c r="A317" s="28" t="s">
        <v>102</v>
      </c>
      <c r="B317" s="28"/>
      <c r="C317" s="28"/>
      <c r="D317" s="29">
        <f t="shared" si="9"/>
        <v>0</v>
      </c>
      <c r="E317" s="28"/>
      <c r="F317" s="28"/>
      <c r="G317" s="29">
        <f t="shared" si="8"/>
        <v>0</v>
      </c>
      <c r="H317" s="31">
        <v>105</v>
      </c>
      <c r="I317" s="19">
        <f t="shared" si="10"/>
        <v>0</v>
      </c>
    </row>
    <row r="318" spans="1:9" x14ac:dyDescent="0.3">
      <c r="A318" s="28" t="s">
        <v>103</v>
      </c>
      <c r="B318" s="28"/>
      <c r="C318" s="28"/>
      <c r="D318" s="29">
        <f t="shared" si="9"/>
        <v>0</v>
      </c>
      <c r="E318" s="28"/>
      <c r="F318" s="28"/>
      <c r="G318" s="29">
        <f t="shared" si="8"/>
        <v>0</v>
      </c>
      <c r="H318" s="34">
        <v>6000</v>
      </c>
      <c r="I318" s="19">
        <f t="shared" si="10"/>
        <v>0</v>
      </c>
    </row>
    <row r="319" spans="1:9" x14ac:dyDescent="0.3">
      <c r="A319" s="28" t="s">
        <v>104</v>
      </c>
      <c r="B319" s="28"/>
      <c r="C319" s="28"/>
      <c r="D319" s="29">
        <f t="shared" si="9"/>
        <v>0</v>
      </c>
      <c r="E319" s="28"/>
      <c r="F319" s="28"/>
      <c r="G319" s="29">
        <f t="shared" si="8"/>
        <v>0</v>
      </c>
      <c r="H319" s="30">
        <v>2800</v>
      </c>
      <c r="I319" s="19">
        <f t="shared" si="10"/>
        <v>0</v>
      </c>
    </row>
    <row r="320" spans="1:9" x14ac:dyDescent="0.3">
      <c r="A320" s="28" t="s">
        <v>338</v>
      </c>
      <c r="B320" s="28"/>
      <c r="C320" s="28"/>
      <c r="D320" s="29">
        <f t="shared" si="9"/>
        <v>0</v>
      </c>
      <c r="E320" s="28"/>
      <c r="F320" s="28"/>
      <c r="G320" s="29">
        <f t="shared" si="8"/>
        <v>0</v>
      </c>
      <c r="H320" s="30">
        <v>2500</v>
      </c>
      <c r="I320" s="19">
        <f t="shared" si="10"/>
        <v>0</v>
      </c>
    </row>
    <row r="321" spans="1:9" x14ac:dyDescent="0.3">
      <c r="A321" s="28" t="s">
        <v>105</v>
      </c>
      <c r="B321" s="28"/>
      <c r="C321" s="28"/>
      <c r="D321" s="29">
        <f t="shared" si="9"/>
        <v>0</v>
      </c>
      <c r="E321" s="28"/>
      <c r="F321" s="28"/>
      <c r="G321" s="29">
        <f t="shared" si="8"/>
        <v>0</v>
      </c>
      <c r="H321" s="30">
        <v>2600</v>
      </c>
      <c r="I321" s="19">
        <f t="shared" si="10"/>
        <v>0</v>
      </c>
    </row>
    <row r="322" spans="1:9" x14ac:dyDescent="0.3">
      <c r="A322" s="28" t="s">
        <v>337</v>
      </c>
      <c r="B322" s="28"/>
      <c r="C322" s="28"/>
      <c r="D322" s="29">
        <f t="shared" si="9"/>
        <v>0</v>
      </c>
      <c r="E322" s="28"/>
      <c r="F322" s="28"/>
      <c r="G322" s="29">
        <f t="shared" si="8"/>
        <v>0</v>
      </c>
      <c r="H322" s="30">
        <v>2800</v>
      </c>
      <c r="I322" s="19">
        <f t="shared" si="10"/>
        <v>0</v>
      </c>
    </row>
    <row r="323" spans="1:9" x14ac:dyDescent="0.3">
      <c r="A323" s="28" t="s">
        <v>297</v>
      </c>
      <c r="B323" s="28"/>
      <c r="C323" s="28"/>
      <c r="D323" s="29">
        <f t="shared" si="9"/>
        <v>0</v>
      </c>
      <c r="E323" s="28"/>
      <c r="F323" s="28"/>
      <c r="G323" s="29">
        <f t="shared" si="8"/>
        <v>0</v>
      </c>
      <c r="H323" s="30">
        <v>2400</v>
      </c>
      <c r="I323" s="19">
        <f t="shared" si="10"/>
        <v>0</v>
      </c>
    </row>
    <row r="324" spans="1:9" x14ac:dyDescent="0.3">
      <c r="A324" s="28" t="s">
        <v>106</v>
      </c>
      <c r="B324" s="28"/>
      <c r="C324" s="28"/>
      <c r="D324" s="29">
        <f t="shared" si="9"/>
        <v>0</v>
      </c>
      <c r="E324" s="28"/>
      <c r="F324" s="28"/>
      <c r="G324" s="29">
        <f t="shared" si="8"/>
        <v>0</v>
      </c>
      <c r="H324" s="30">
        <v>250</v>
      </c>
      <c r="I324" s="19">
        <f t="shared" si="10"/>
        <v>0</v>
      </c>
    </row>
    <row r="325" spans="1:9" x14ac:dyDescent="0.3">
      <c r="A325" s="28" t="s">
        <v>260</v>
      </c>
      <c r="B325" s="28"/>
      <c r="C325" s="28"/>
      <c r="D325" s="29">
        <f t="shared" si="9"/>
        <v>0</v>
      </c>
      <c r="E325" s="28"/>
      <c r="F325" s="28"/>
      <c r="G325" s="29">
        <f t="shared" si="8"/>
        <v>0</v>
      </c>
      <c r="H325" s="30">
        <v>130</v>
      </c>
      <c r="I325" s="19">
        <f t="shared" si="10"/>
        <v>0</v>
      </c>
    </row>
    <row r="326" spans="1:9" x14ac:dyDescent="0.3">
      <c r="A326" s="28" t="s">
        <v>344</v>
      </c>
      <c r="B326" s="28"/>
      <c r="C326" s="28"/>
      <c r="D326" s="29">
        <f t="shared" si="9"/>
        <v>0</v>
      </c>
      <c r="E326" s="28"/>
      <c r="F326" s="28"/>
      <c r="G326" s="29">
        <f t="shared" si="8"/>
        <v>0</v>
      </c>
      <c r="H326" s="30">
        <v>4500</v>
      </c>
      <c r="I326" s="19">
        <f t="shared" si="10"/>
        <v>0</v>
      </c>
    </row>
    <row r="327" spans="1:9" x14ac:dyDescent="0.3">
      <c r="A327" s="28" t="s">
        <v>345</v>
      </c>
      <c r="B327" s="28"/>
      <c r="C327" s="28"/>
      <c r="D327" s="29">
        <f t="shared" si="9"/>
        <v>0</v>
      </c>
      <c r="E327" s="28"/>
      <c r="F327" s="28"/>
      <c r="G327" s="29">
        <f t="shared" si="8"/>
        <v>0</v>
      </c>
      <c r="H327" s="30">
        <v>5000</v>
      </c>
      <c r="I327" s="19">
        <f t="shared" si="10"/>
        <v>0</v>
      </c>
    </row>
    <row r="328" spans="1:9" x14ac:dyDescent="0.3">
      <c r="A328" s="28" t="s">
        <v>210</v>
      </c>
      <c r="B328" s="28"/>
      <c r="C328" s="28"/>
      <c r="D328" s="29">
        <f t="shared" si="9"/>
        <v>0</v>
      </c>
      <c r="E328" s="28"/>
      <c r="F328" s="28"/>
      <c r="G328" s="29">
        <f t="shared" si="8"/>
        <v>0</v>
      </c>
      <c r="H328" s="30">
        <v>2800</v>
      </c>
      <c r="I328" s="19">
        <f t="shared" si="10"/>
        <v>0</v>
      </c>
    </row>
    <row r="329" spans="1:9" x14ac:dyDescent="0.3">
      <c r="A329" s="28" t="s">
        <v>107</v>
      </c>
      <c r="B329" s="28"/>
      <c r="C329" s="28"/>
      <c r="D329" s="29">
        <f t="shared" si="9"/>
        <v>0</v>
      </c>
      <c r="E329" s="28"/>
      <c r="F329" s="28"/>
      <c r="G329" s="29">
        <f t="shared" si="8"/>
        <v>0</v>
      </c>
      <c r="H329" s="30">
        <v>1500</v>
      </c>
      <c r="I329" s="19">
        <f t="shared" si="10"/>
        <v>0</v>
      </c>
    </row>
    <row r="330" spans="1:9" x14ac:dyDescent="0.3">
      <c r="A330" s="28" t="s">
        <v>108</v>
      </c>
      <c r="B330" s="28"/>
      <c r="C330" s="28"/>
      <c r="D330" s="29">
        <f t="shared" si="9"/>
        <v>0</v>
      </c>
      <c r="E330" s="28"/>
      <c r="F330" s="28"/>
      <c r="G330" s="29">
        <f t="shared" si="8"/>
        <v>0</v>
      </c>
      <c r="H330" s="30">
        <v>1000</v>
      </c>
      <c r="I330" s="19">
        <f t="shared" si="10"/>
        <v>0</v>
      </c>
    </row>
    <row r="331" spans="1:9" x14ac:dyDescent="0.3">
      <c r="A331" s="28" t="s">
        <v>109</v>
      </c>
      <c r="B331" s="28"/>
      <c r="C331" s="28"/>
      <c r="D331" s="29">
        <f t="shared" ref="D331:D375" si="11">B331+C331</f>
        <v>0</v>
      </c>
      <c r="E331" s="28"/>
      <c r="F331" s="28"/>
      <c r="G331" s="29">
        <f t="shared" si="8"/>
        <v>0</v>
      </c>
      <c r="H331" s="30">
        <v>2850</v>
      </c>
      <c r="I331" s="19">
        <f t="shared" si="10"/>
        <v>0</v>
      </c>
    </row>
    <row r="332" spans="1:9" x14ac:dyDescent="0.3">
      <c r="A332" s="28" t="s">
        <v>110</v>
      </c>
      <c r="B332" s="28"/>
      <c r="C332" s="28"/>
      <c r="D332" s="29">
        <f t="shared" si="11"/>
        <v>0</v>
      </c>
      <c r="E332" s="28"/>
      <c r="F332" s="28"/>
      <c r="G332" s="29">
        <f t="shared" si="8"/>
        <v>0</v>
      </c>
      <c r="H332" s="30"/>
      <c r="I332" s="19">
        <f t="shared" si="10"/>
        <v>0</v>
      </c>
    </row>
    <row r="333" spans="1:9" x14ac:dyDescent="0.3">
      <c r="A333" s="28" t="s">
        <v>111</v>
      </c>
      <c r="B333" s="28"/>
      <c r="C333" s="28"/>
      <c r="D333" s="29">
        <f t="shared" si="11"/>
        <v>0</v>
      </c>
      <c r="E333" s="28"/>
      <c r="F333" s="28"/>
      <c r="G333" s="29">
        <f t="shared" si="8"/>
        <v>0</v>
      </c>
      <c r="H333" s="30">
        <v>3500</v>
      </c>
      <c r="I333" s="19">
        <f t="shared" si="10"/>
        <v>0</v>
      </c>
    </row>
    <row r="334" spans="1:9" x14ac:dyDescent="0.3">
      <c r="A334" s="28" t="s">
        <v>234</v>
      </c>
      <c r="B334" s="28"/>
      <c r="C334" s="28"/>
      <c r="D334" s="29">
        <f t="shared" si="11"/>
        <v>0</v>
      </c>
      <c r="E334" s="28"/>
      <c r="F334" s="28"/>
      <c r="G334" s="29">
        <f t="shared" si="8"/>
        <v>0</v>
      </c>
      <c r="H334" s="30">
        <v>650</v>
      </c>
      <c r="I334" s="19">
        <f t="shared" si="10"/>
        <v>0</v>
      </c>
    </row>
    <row r="335" spans="1:9" x14ac:dyDescent="0.3">
      <c r="A335" s="28" t="s">
        <v>112</v>
      </c>
      <c r="B335" s="28"/>
      <c r="C335" s="28"/>
      <c r="D335" s="29">
        <f t="shared" si="11"/>
        <v>0</v>
      </c>
      <c r="E335" s="28"/>
      <c r="F335" s="28"/>
      <c r="G335" s="29">
        <f t="shared" si="8"/>
        <v>0</v>
      </c>
      <c r="H335" s="30">
        <v>1000</v>
      </c>
      <c r="I335" s="19">
        <f t="shared" si="10"/>
        <v>0</v>
      </c>
    </row>
    <row r="336" spans="1:9" x14ac:dyDescent="0.3">
      <c r="A336" s="28" t="s">
        <v>358</v>
      </c>
      <c r="B336" s="28"/>
      <c r="C336" s="28"/>
      <c r="D336" s="29">
        <f t="shared" si="11"/>
        <v>0</v>
      </c>
      <c r="E336" s="28"/>
      <c r="F336" s="28"/>
      <c r="G336" s="29">
        <f t="shared" si="8"/>
        <v>0</v>
      </c>
      <c r="H336" s="30">
        <v>100</v>
      </c>
      <c r="I336" s="19">
        <f t="shared" si="10"/>
        <v>0</v>
      </c>
    </row>
    <row r="337" spans="1:9" x14ac:dyDescent="0.3">
      <c r="A337" s="28" t="s">
        <v>298</v>
      </c>
      <c r="B337" s="28"/>
      <c r="C337" s="28"/>
      <c r="D337" s="29">
        <f t="shared" si="11"/>
        <v>0</v>
      </c>
      <c r="E337" s="28"/>
      <c r="F337" s="28"/>
      <c r="G337" s="29">
        <f t="shared" si="8"/>
        <v>0</v>
      </c>
      <c r="H337" s="30">
        <v>100</v>
      </c>
      <c r="I337" s="19">
        <f t="shared" si="10"/>
        <v>0</v>
      </c>
    </row>
    <row r="338" spans="1:9" x14ac:dyDescent="0.3">
      <c r="A338" s="28" t="s">
        <v>114</v>
      </c>
      <c r="B338" s="28"/>
      <c r="C338" s="28"/>
      <c r="D338" s="29">
        <f t="shared" si="11"/>
        <v>0</v>
      </c>
      <c r="E338" s="28"/>
      <c r="F338" s="28"/>
      <c r="G338" s="29">
        <f t="shared" ref="G338:G375" si="12">D338-E338-F338</f>
        <v>0</v>
      </c>
      <c r="H338" s="30">
        <v>450</v>
      </c>
      <c r="I338" s="19">
        <f t="shared" si="10"/>
        <v>0</v>
      </c>
    </row>
    <row r="339" spans="1:9" x14ac:dyDescent="0.3">
      <c r="A339" s="28" t="s">
        <v>116</v>
      </c>
      <c r="B339" s="28"/>
      <c r="C339" s="28"/>
      <c r="D339" s="29">
        <f t="shared" si="11"/>
        <v>0</v>
      </c>
      <c r="E339" s="28"/>
      <c r="F339" s="28"/>
      <c r="G339" s="29">
        <f t="shared" si="12"/>
        <v>0</v>
      </c>
      <c r="H339" s="30">
        <v>300</v>
      </c>
      <c r="I339" s="19">
        <f t="shared" si="10"/>
        <v>0</v>
      </c>
    </row>
    <row r="340" spans="1:9" x14ac:dyDescent="0.3">
      <c r="A340" s="28" t="s">
        <v>119</v>
      </c>
      <c r="B340" s="28"/>
      <c r="C340" s="28"/>
      <c r="D340" s="29">
        <f t="shared" si="11"/>
        <v>0</v>
      </c>
      <c r="E340" s="28"/>
      <c r="F340" s="28"/>
      <c r="G340" s="29">
        <f t="shared" si="12"/>
        <v>0</v>
      </c>
      <c r="H340" s="30">
        <v>150</v>
      </c>
      <c r="I340" s="19">
        <f t="shared" si="10"/>
        <v>0</v>
      </c>
    </row>
    <row r="341" spans="1:9" x14ac:dyDescent="0.3">
      <c r="A341" s="28" t="s">
        <v>120</v>
      </c>
      <c r="B341" s="28"/>
      <c r="C341" s="28"/>
      <c r="D341" s="29">
        <f t="shared" si="11"/>
        <v>0</v>
      </c>
      <c r="E341" s="28"/>
      <c r="F341" s="28"/>
      <c r="G341" s="29">
        <f t="shared" si="12"/>
        <v>0</v>
      </c>
      <c r="H341" s="30">
        <v>90</v>
      </c>
      <c r="I341" s="19">
        <f t="shared" si="10"/>
        <v>0</v>
      </c>
    </row>
    <row r="342" spans="1:9" x14ac:dyDescent="0.3">
      <c r="A342" s="28" t="s">
        <v>308</v>
      </c>
      <c r="B342" s="28"/>
      <c r="C342" s="28"/>
      <c r="D342" s="29">
        <f t="shared" si="11"/>
        <v>0</v>
      </c>
      <c r="E342" s="28"/>
      <c r="F342" s="28"/>
      <c r="G342" s="29">
        <f t="shared" si="12"/>
        <v>0</v>
      </c>
      <c r="H342" s="30">
        <v>100</v>
      </c>
      <c r="I342" s="19">
        <f t="shared" si="10"/>
        <v>0</v>
      </c>
    </row>
    <row r="343" spans="1:9" x14ac:dyDescent="0.3">
      <c r="A343" s="28" t="s">
        <v>309</v>
      </c>
      <c r="B343" s="28"/>
      <c r="C343" s="28"/>
      <c r="D343" s="29">
        <f t="shared" si="11"/>
        <v>0</v>
      </c>
      <c r="E343" s="28"/>
      <c r="F343" s="28"/>
      <c r="G343" s="29">
        <f t="shared" si="12"/>
        <v>0</v>
      </c>
      <c r="H343" s="30">
        <v>1500</v>
      </c>
      <c r="I343" s="19">
        <f t="shared" si="10"/>
        <v>0</v>
      </c>
    </row>
    <row r="344" spans="1:9" x14ac:dyDescent="0.3">
      <c r="A344" s="28" t="s">
        <v>317</v>
      </c>
      <c r="B344" s="28"/>
      <c r="C344" s="28"/>
      <c r="D344" s="29">
        <f t="shared" si="11"/>
        <v>0</v>
      </c>
      <c r="E344" s="28"/>
      <c r="F344" s="28"/>
      <c r="G344" s="29">
        <f t="shared" si="12"/>
        <v>0</v>
      </c>
      <c r="H344" s="30">
        <v>600</v>
      </c>
      <c r="I344" s="19">
        <f t="shared" si="10"/>
        <v>0</v>
      </c>
    </row>
    <row r="345" spans="1:9" x14ac:dyDescent="0.3">
      <c r="A345" s="28" t="s">
        <v>318</v>
      </c>
      <c r="B345" s="28"/>
      <c r="C345" s="28"/>
      <c r="D345" s="29">
        <f t="shared" si="11"/>
        <v>0</v>
      </c>
      <c r="E345" s="28"/>
      <c r="F345" s="28"/>
      <c r="G345" s="29">
        <f t="shared" si="12"/>
        <v>0</v>
      </c>
      <c r="H345" s="30">
        <v>500</v>
      </c>
      <c r="I345" s="19">
        <f t="shared" si="10"/>
        <v>0</v>
      </c>
    </row>
    <row r="346" spans="1:9" x14ac:dyDescent="0.3">
      <c r="A346" s="28" t="s">
        <v>121</v>
      </c>
      <c r="B346" s="28"/>
      <c r="C346" s="28"/>
      <c r="D346" s="29">
        <f t="shared" si="11"/>
        <v>0</v>
      </c>
      <c r="E346" s="28"/>
      <c r="F346" s="28"/>
      <c r="G346" s="29">
        <f t="shared" si="12"/>
        <v>0</v>
      </c>
      <c r="H346" s="30">
        <v>25</v>
      </c>
      <c r="I346" s="19">
        <f t="shared" si="10"/>
        <v>0</v>
      </c>
    </row>
    <row r="347" spans="1:9" x14ac:dyDescent="0.3">
      <c r="A347" s="28" t="s">
        <v>412</v>
      </c>
      <c r="B347" s="28"/>
      <c r="C347" s="28"/>
      <c r="D347" s="29">
        <f t="shared" si="11"/>
        <v>0</v>
      </c>
      <c r="E347" s="28"/>
      <c r="F347" s="28"/>
      <c r="G347" s="29">
        <f t="shared" si="12"/>
        <v>0</v>
      </c>
      <c r="H347" s="30">
        <v>28000</v>
      </c>
      <c r="I347" s="19">
        <f t="shared" si="10"/>
        <v>0</v>
      </c>
    </row>
    <row r="348" spans="1:9" x14ac:dyDescent="0.3">
      <c r="A348" s="28" t="s">
        <v>133</v>
      </c>
      <c r="B348" s="28"/>
      <c r="C348" s="28"/>
      <c r="D348" s="29">
        <f t="shared" si="11"/>
        <v>0</v>
      </c>
      <c r="E348" s="28"/>
      <c r="F348" s="28"/>
      <c r="G348" s="29">
        <f t="shared" si="12"/>
        <v>0</v>
      </c>
      <c r="H348" s="30">
        <v>1500</v>
      </c>
      <c r="I348" s="19">
        <f t="shared" si="10"/>
        <v>0</v>
      </c>
    </row>
    <row r="349" spans="1:9" x14ac:dyDescent="0.3">
      <c r="A349" s="28" t="s">
        <v>138</v>
      </c>
      <c r="B349" s="28"/>
      <c r="C349" s="28"/>
      <c r="D349" s="29">
        <f t="shared" si="11"/>
        <v>0</v>
      </c>
      <c r="E349" s="28"/>
      <c r="F349" s="28"/>
      <c r="G349" s="29">
        <f t="shared" si="12"/>
        <v>0</v>
      </c>
      <c r="H349" s="30">
        <v>30</v>
      </c>
      <c r="I349" s="19">
        <f t="shared" si="10"/>
        <v>0</v>
      </c>
    </row>
    <row r="350" spans="1:9" x14ac:dyDescent="0.3">
      <c r="A350" s="28" t="s">
        <v>139</v>
      </c>
      <c r="B350" s="28"/>
      <c r="C350" s="28"/>
      <c r="D350" s="29">
        <f t="shared" si="11"/>
        <v>0</v>
      </c>
      <c r="E350" s="28"/>
      <c r="F350" s="28"/>
      <c r="G350" s="29">
        <f t="shared" si="12"/>
        <v>0</v>
      </c>
      <c r="H350" s="30">
        <v>30</v>
      </c>
      <c r="I350" s="19">
        <f t="shared" si="10"/>
        <v>0</v>
      </c>
    </row>
    <row r="351" spans="1:9" x14ac:dyDescent="0.3">
      <c r="A351" s="28" t="s">
        <v>146</v>
      </c>
      <c r="B351" s="28"/>
      <c r="C351" s="28"/>
      <c r="D351" s="29">
        <f t="shared" si="11"/>
        <v>0</v>
      </c>
      <c r="E351" s="28"/>
      <c r="F351" s="28"/>
      <c r="G351" s="29">
        <f t="shared" si="12"/>
        <v>0</v>
      </c>
      <c r="H351" s="30">
        <v>1200</v>
      </c>
      <c r="I351" s="19">
        <f t="shared" si="10"/>
        <v>0</v>
      </c>
    </row>
    <row r="352" spans="1:9" x14ac:dyDescent="0.3">
      <c r="A352" s="28" t="s">
        <v>253</v>
      </c>
      <c r="B352" s="28"/>
      <c r="C352" s="28"/>
      <c r="D352" s="29">
        <f t="shared" si="11"/>
        <v>0</v>
      </c>
      <c r="E352" s="28"/>
      <c r="F352" s="28"/>
      <c r="G352" s="29">
        <f t="shared" si="12"/>
        <v>0</v>
      </c>
      <c r="H352" s="30">
        <v>700</v>
      </c>
      <c r="I352" s="19">
        <f t="shared" si="10"/>
        <v>0</v>
      </c>
    </row>
    <row r="353" spans="1:9" x14ac:dyDescent="0.3">
      <c r="A353" s="28" t="s">
        <v>262</v>
      </c>
      <c r="B353" s="28"/>
      <c r="C353" s="28"/>
      <c r="D353" s="29">
        <f t="shared" si="11"/>
        <v>0</v>
      </c>
      <c r="E353" s="28"/>
      <c r="F353" s="28"/>
      <c r="G353" s="29">
        <f t="shared" si="12"/>
        <v>0</v>
      </c>
      <c r="H353" s="30">
        <v>8000</v>
      </c>
      <c r="I353" s="19">
        <f t="shared" si="10"/>
        <v>0</v>
      </c>
    </row>
    <row r="354" spans="1:9" x14ac:dyDescent="0.3">
      <c r="A354" s="28" t="s">
        <v>140</v>
      </c>
      <c r="B354" s="28"/>
      <c r="C354" s="28"/>
      <c r="D354" s="29">
        <f t="shared" si="11"/>
        <v>0</v>
      </c>
      <c r="E354" s="28"/>
      <c r="F354" s="28"/>
      <c r="G354" s="29">
        <f t="shared" si="12"/>
        <v>0</v>
      </c>
      <c r="H354" s="30">
        <v>6</v>
      </c>
      <c r="I354" s="19">
        <f t="shared" si="10"/>
        <v>0</v>
      </c>
    </row>
    <row r="355" spans="1:9" x14ac:dyDescent="0.3">
      <c r="A355" s="28" t="s">
        <v>147</v>
      </c>
      <c r="B355" s="28"/>
      <c r="C355" s="28"/>
      <c r="D355" s="29">
        <f t="shared" si="11"/>
        <v>0</v>
      </c>
      <c r="E355" s="28"/>
      <c r="F355" s="28"/>
      <c r="G355" s="29">
        <f t="shared" si="12"/>
        <v>0</v>
      </c>
      <c r="H355" s="30">
        <v>2000</v>
      </c>
      <c r="I355" s="19">
        <f t="shared" si="10"/>
        <v>0</v>
      </c>
    </row>
    <row r="356" spans="1:9" x14ac:dyDescent="0.3">
      <c r="A356" s="28" t="s">
        <v>237</v>
      </c>
      <c r="B356" s="28"/>
      <c r="C356" s="28"/>
      <c r="D356" s="29">
        <f t="shared" si="11"/>
        <v>0</v>
      </c>
      <c r="E356" s="28"/>
      <c r="F356" s="28"/>
      <c r="G356" s="29">
        <f t="shared" si="12"/>
        <v>0</v>
      </c>
      <c r="H356" s="30">
        <v>180</v>
      </c>
      <c r="I356" s="19">
        <f t="shared" si="10"/>
        <v>0</v>
      </c>
    </row>
    <row r="357" spans="1:9" x14ac:dyDescent="0.3">
      <c r="A357" s="28" t="s">
        <v>144</v>
      </c>
      <c r="B357" s="28"/>
      <c r="C357" s="28"/>
      <c r="D357" s="29">
        <f t="shared" si="11"/>
        <v>0</v>
      </c>
      <c r="E357" s="28"/>
      <c r="F357" s="28"/>
      <c r="G357" s="29">
        <f t="shared" si="12"/>
        <v>0</v>
      </c>
      <c r="H357" s="30">
        <v>5000</v>
      </c>
      <c r="I357" s="19">
        <f t="shared" si="10"/>
        <v>0</v>
      </c>
    </row>
    <row r="358" spans="1:9" x14ac:dyDescent="0.3">
      <c r="A358" s="28" t="s">
        <v>145</v>
      </c>
      <c r="B358" s="28"/>
      <c r="C358" s="28"/>
      <c r="D358" s="29">
        <f t="shared" si="11"/>
        <v>0</v>
      </c>
      <c r="E358" s="28"/>
      <c r="F358" s="28"/>
      <c r="G358" s="29">
        <f t="shared" si="12"/>
        <v>0</v>
      </c>
      <c r="H358" s="30">
        <v>7500</v>
      </c>
      <c r="I358" s="19">
        <f t="shared" si="10"/>
        <v>0</v>
      </c>
    </row>
    <row r="359" spans="1:9" x14ac:dyDescent="0.3">
      <c r="A359" s="28" t="s">
        <v>228</v>
      </c>
      <c r="B359" s="28"/>
      <c r="C359" s="28"/>
      <c r="D359" s="29">
        <f t="shared" si="11"/>
        <v>0</v>
      </c>
      <c r="E359" s="28"/>
      <c r="F359" s="28"/>
      <c r="G359" s="29">
        <f t="shared" si="12"/>
        <v>0</v>
      </c>
      <c r="H359" s="30">
        <v>70</v>
      </c>
      <c r="I359" s="19">
        <f t="shared" si="10"/>
        <v>0</v>
      </c>
    </row>
    <row r="360" spans="1:9" x14ac:dyDescent="0.3">
      <c r="A360" s="28" t="s">
        <v>340</v>
      </c>
      <c r="B360" s="28"/>
      <c r="C360" s="28"/>
      <c r="D360" s="29">
        <f t="shared" si="11"/>
        <v>0</v>
      </c>
      <c r="E360" s="28"/>
      <c r="F360" s="28"/>
      <c r="G360" s="29">
        <f t="shared" si="12"/>
        <v>0</v>
      </c>
      <c r="H360" s="30">
        <v>1400</v>
      </c>
      <c r="I360" s="19">
        <f t="shared" si="10"/>
        <v>0</v>
      </c>
    </row>
    <row r="361" spans="1:9" x14ac:dyDescent="0.3">
      <c r="A361" s="28" t="s">
        <v>341</v>
      </c>
      <c r="B361" s="28"/>
      <c r="C361" s="28"/>
      <c r="D361" s="29">
        <f t="shared" si="11"/>
        <v>0</v>
      </c>
      <c r="E361" s="28"/>
      <c r="F361" s="28"/>
      <c r="G361" s="29">
        <f t="shared" si="12"/>
        <v>0</v>
      </c>
      <c r="H361" s="30">
        <v>1200</v>
      </c>
      <c r="I361" s="19">
        <f t="shared" si="10"/>
        <v>0</v>
      </c>
    </row>
    <row r="362" spans="1:9" x14ac:dyDescent="0.3">
      <c r="A362" s="28" t="s">
        <v>209</v>
      </c>
      <c r="B362" s="28"/>
      <c r="C362" s="28"/>
      <c r="D362" s="29">
        <f t="shared" si="11"/>
        <v>0</v>
      </c>
      <c r="E362" s="28"/>
      <c r="F362" s="28"/>
      <c r="G362" s="29">
        <f t="shared" si="12"/>
        <v>0</v>
      </c>
      <c r="H362" s="30">
        <v>30</v>
      </c>
      <c r="I362" s="19">
        <f t="shared" si="10"/>
        <v>0</v>
      </c>
    </row>
    <row r="363" spans="1:9" x14ac:dyDescent="0.3">
      <c r="A363" s="28" t="s">
        <v>261</v>
      </c>
      <c r="B363" s="28"/>
      <c r="C363" s="28"/>
      <c r="D363" s="29">
        <f t="shared" si="11"/>
        <v>0</v>
      </c>
      <c r="E363" s="28"/>
      <c r="F363" s="28"/>
      <c r="G363" s="29">
        <f t="shared" si="12"/>
        <v>0</v>
      </c>
      <c r="H363" s="30">
        <v>32</v>
      </c>
      <c r="I363" s="19">
        <f t="shared" si="10"/>
        <v>0</v>
      </c>
    </row>
    <row r="364" spans="1:9" x14ac:dyDescent="0.3">
      <c r="A364" s="28" t="s">
        <v>244</v>
      </c>
      <c r="B364" s="28"/>
      <c r="C364" s="28"/>
      <c r="D364" s="29">
        <f t="shared" si="11"/>
        <v>0</v>
      </c>
      <c r="E364" s="28"/>
      <c r="F364" s="28"/>
      <c r="G364" s="29">
        <f t="shared" si="12"/>
        <v>0</v>
      </c>
      <c r="H364" s="30">
        <v>2000</v>
      </c>
      <c r="I364" s="19">
        <f t="shared" si="10"/>
        <v>0</v>
      </c>
    </row>
    <row r="365" spans="1:9" x14ac:dyDescent="0.3">
      <c r="A365" s="28" t="s">
        <v>281</v>
      </c>
      <c r="B365" s="28"/>
      <c r="C365" s="28"/>
      <c r="D365" s="29">
        <f t="shared" si="11"/>
        <v>0</v>
      </c>
      <c r="E365" s="28"/>
      <c r="F365" s="28"/>
      <c r="G365" s="29">
        <f t="shared" si="12"/>
        <v>0</v>
      </c>
      <c r="H365" s="30">
        <v>1450</v>
      </c>
      <c r="I365" s="19">
        <f t="shared" si="10"/>
        <v>0</v>
      </c>
    </row>
    <row r="366" spans="1:9" x14ac:dyDescent="0.3">
      <c r="A366" s="28" t="s">
        <v>231</v>
      </c>
      <c r="B366" s="28"/>
      <c r="C366" s="28"/>
      <c r="D366" s="29">
        <f t="shared" si="11"/>
        <v>0</v>
      </c>
      <c r="E366" s="28"/>
      <c r="F366" s="28"/>
      <c r="G366" s="29">
        <f t="shared" si="12"/>
        <v>0</v>
      </c>
      <c r="H366" s="30">
        <v>300</v>
      </c>
      <c r="I366" s="19">
        <f t="shared" si="10"/>
        <v>0</v>
      </c>
    </row>
    <row r="367" spans="1:9" x14ac:dyDescent="0.3">
      <c r="A367" s="28" t="s">
        <v>232</v>
      </c>
      <c r="B367" s="28"/>
      <c r="C367" s="28"/>
      <c r="D367" s="29">
        <f t="shared" si="11"/>
        <v>0</v>
      </c>
      <c r="E367" s="28"/>
      <c r="F367" s="28"/>
      <c r="G367" s="29">
        <f t="shared" si="12"/>
        <v>0</v>
      </c>
      <c r="H367" s="30">
        <v>500</v>
      </c>
      <c r="I367" s="19">
        <f t="shared" si="10"/>
        <v>0</v>
      </c>
    </row>
    <row r="368" spans="1:9" x14ac:dyDescent="0.3">
      <c r="A368" s="28" t="s">
        <v>227</v>
      </c>
      <c r="B368" s="28"/>
      <c r="C368" s="28"/>
      <c r="D368" s="29">
        <f t="shared" si="11"/>
        <v>0</v>
      </c>
      <c r="E368" s="28"/>
      <c r="F368" s="28"/>
      <c r="G368" s="29">
        <f t="shared" si="12"/>
        <v>0</v>
      </c>
      <c r="H368" s="30">
        <v>120</v>
      </c>
      <c r="I368" s="19">
        <f t="shared" si="10"/>
        <v>0</v>
      </c>
    </row>
    <row r="369" spans="1:9" x14ac:dyDescent="0.3">
      <c r="A369" s="28" t="s">
        <v>277</v>
      </c>
      <c r="B369" s="28"/>
      <c r="C369" s="28"/>
      <c r="D369" s="29">
        <f t="shared" si="11"/>
        <v>0</v>
      </c>
      <c r="E369" s="28"/>
      <c r="F369" s="28"/>
      <c r="G369" s="29">
        <f t="shared" si="12"/>
        <v>0</v>
      </c>
      <c r="H369" s="30"/>
      <c r="I369" s="19">
        <f t="shared" si="10"/>
        <v>0</v>
      </c>
    </row>
    <row r="370" spans="1:9" x14ac:dyDescent="0.3">
      <c r="A370" s="28" t="s">
        <v>236</v>
      </c>
      <c r="B370" s="28"/>
      <c r="C370" s="28"/>
      <c r="D370" s="29">
        <f t="shared" si="11"/>
        <v>0</v>
      </c>
      <c r="E370" s="28"/>
      <c r="F370" s="28"/>
      <c r="G370" s="29">
        <f t="shared" si="12"/>
        <v>0</v>
      </c>
      <c r="H370" s="30">
        <v>65</v>
      </c>
      <c r="I370" s="19">
        <f t="shared" si="10"/>
        <v>0</v>
      </c>
    </row>
    <row r="371" spans="1:9" x14ac:dyDescent="0.3">
      <c r="A371" s="28" t="s">
        <v>322</v>
      </c>
      <c r="B371" s="28"/>
      <c r="C371" s="28"/>
      <c r="D371" s="29">
        <f t="shared" si="11"/>
        <v>0</v>
      </c>
      <c r="E371" s="28"/>
      <c r="F371" s="28"/>
      <c r="G371" s="29">
        <f t="shared" si="12"/>
        <v>0</v>
      </c>
      <c r="H371" s="30">
        <v>6500</v>
      </c>
      <c r="I371" s="19">
        <f t="shared" si="10"/>
        <v>0</v>
      </c>
    </row>
    <row r="372" spans="1:9" x14ac:dyDescent="0.3">
      <c r="A372" s="28" t="s">
        <v>335</v>
      </c>
      <c r="B372" s="28"/>
      <c r="C372" s="28"/>
      <c r="D372" s="29">
        <f t="shared" si="11"/>
        <v>0</v>
      </c>
      <c r="E372" s="28"/>
      <c r="F372" s="28"/>
      <c r="G372" s="29">
        <f t="shared" si="12"/>
        <v>0</v>
      </c>
      <c r="H372" s="30">
        <v>1050</v>
      </c>
      <c r="I372" s="19">
        <f t="shared" si="10"/>
        <v>0</v>
      </c>
    </row>
    <row r="373" spans="1:9" x14ac:dyDescent="0.3">
      <c r="A373" s="28" t="s">
        <v>299</v>
      </c>
      <c r="B373" s="28"/>
      <c r="C373" s="28"/>
      <c r="D373" s="29">
        <f t="shared" si="11"/>
        <v>0</v>
      </c>
      <c r="E373" s="28"/>
      <c r="F373" s="28"/>
      <c r="G373" s="29">
        <f t="shared" si="12"/>
        <v>0</v>
      </c>
      <c r="H373" s="30">
        <v>1400</v>
      </c>
      <c r="I373" s="19">
        <f t="shared" si="10"/>
        <v>0</v>
      </c>
    </row>
    <row r="374" spans="1:9" x14ac:dyDescent="0.3">
      <c r="A374" s="28" t="s">
        <v>226</v>
      </c>
      <c r="B374" s="28"/>
      <c r="C374" s="28"/>
      <c r="D374" s="29">
        <f t="shared" si="11"/>
        <v>0</v>
      </c>
      <c r="E374" s="28"/>
      <c r="F374" s="28"/>
      <c r="G374" s="29">
        <f t="shared" si="12"/>
        <v>0</v>
      </c>
      <c r="H374" s="30">
        <v>300</v>
      </c>
      <c r="I374" s="19">
        <f t="shared" si="10"/>
        <v>0</v>
      </c>
    </row>
    <row r="375" spans="1:9" x14ac:dyDescent="0.3">
      <c r="A375" s="28" t="s">
        <v>271</v>
      </c>
      <c r="B375" s="28"/>
      <c r="C375" s="28"/>
      <c r="D375" s="29">
        <f t="shared" si="11"/>
        <v>0</v>
      </c>
      <c r="E375" s="28"/>
      <c r="F375" s="28"/>
      <c r="G375" s="29">
        <f t="shared" si="12"/>
        <v>0</v>
      </c>
      <c r="H375" s="30">
        <v>7000</v>
      </c>
      <c r="I375" s="19">
        <f t="shared" si="10"/>
        <v>0</v>
      </c>
    </row>
    <row r="376" spans="1:9" x14ac:dyDescent="0.3">
      <c r="I376" s="39">
        <f>SUM(I6:I375)</f>
        <v>1537970</v>
      </c>
    </row>
    <row r="380" spans="1:9" x14ac:dyDescent="0.3">
      <c r="I380" s="17">
        <v>2527220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76"/>
  <sheetViews>
    <sheetView topLeftCell="A359" workbookViewId="0">
      <selection activeCell="A359" sqref="A1:XFD1048576"/>
    </sheetView>
  </sheetViews>
  <sheetFormatPr defaultColWidth="8.6640625" defaultRowHeight="13.8" x14ac:dyDescent="0.3"/>
  <cols>
    <col min="1" max="1" width="21.44140625" style="17" customWidth="1"/>
    <col min="2" max="2" width="7.44140625" style="17" customWidth="1"/>
    <col min="3" max="3" width="8.6640625" style="17" customWidth="1"/>
    <col min="4" max="4" width="8.33203125" style="17" customWidth="1"/>
    <col min="5" max="5" width="5.44140625" style="17" customWidth="1"/>
    <col min="6" max="6" width="7.44140625" style="17" customWidth="1"/>
    <col min="7" max="7" width="8" style="17" customWidth="1"/>
    <col min="8" max="8" width="10.44140625" style="18" customWidth="1"/>
    <col min="9" max="9" width="12.6640625" style="17" customWidth="1"/>
    <col min="10" max="16384" width="8.6640625" style="17"/>
  </cols>
  <sheetData>
    <row r="1" spans="1:9" x14ac:dyDescent="0.3">
      <c r="A1" s="19" t="s">
        <v>417</v>
      </c>
      <c r="B1" s="19"/>
      <c r="C1" s="48"/>
      <c r="D1" s="19"/>
      <c r="E1" s="19"/>
      <c r="F1" s="19"/>
      <c r="G1" s="19"/>
      <c r="H1" s="20"/>
      <c r="I1" s="19"/>
    </row>
    <row r="2" spans="1:9" x14ac:dyDescent="0.3">
      <c r="A2" s="21" t="s">
        <v>418</v>
      </c>
      <c r="B2" s="21"/>
      <c r="C2" s="49"/>
      <c r="D2" s="21"/>
      <c r="E2" s="21"/>
      <c r="F2" s="21"/>
      <c r="G2" s="21"/>
      <c r="H2" s="22"/>
      <c r="I2" s="23"/>
    </row>
    <row r="3" spans="1:9" ht="50.4" x14ac:dyDescent="0.3">
      <c r="A3" s="24"/>
      <c r="B3" s="25"/>
      <c r="C3" s="25"/>
      <c r="D3" s="25"/>
      <c r="E3" s="25"/>
      <c r="F3" s="25"/>
      <c r="G3" s="25" t="s">
        <v>0</v>
      </c>
      <c r="H3" s="26" t="s">
        <v>1</v>
      </c>
      <c r="I3" s="27" t="s">
        <v>2</v>
      </c>
    </row>
    <row r="4" spans="1:9" x14ac:dyDescent="0.3">
      <c r="A4" s="24" t="s">
        <v>4</v>
      </c>
      <c r="B4" s="25"/>
      <c r="C4" s="25"/>
      <c r="D4" s="25"/>
      <c r="E4" s="25"/>
      <c r="F4" s="25"/>
      <c r="G4" s="25"/>
      <c r="H4" s="26"/>
      <c r="I4" s="27"/>
    </row>
    <row r="5" spans="1:9" x14ac:dyDescent="0.3">
      <c r="A5" s="28" t="s">
        <v>333</v>
      </c>
      <c r="B5" s="29">
        <v>90</v>
      </c>
      <c r="C5" s="28"/>
      <c r="D5" s="29">
        <f>B5+C5</f>
        <v>90</v>
      </c>
      <c r="E5" s="25"/>
      <c r="F5" s="29">
        <v>50</v>
      </c>
      <c r="G5" s="29">
        <f>D5-E5-F5</f>
        <v>40</v>
      </c>
      <c r="H5" s="29">
        <v>30</v>
      </c>
      <c r="I5" s="19">
        <f>G5*H5</f>
        <v>1200</v>
      </c>
    </row>
    <row r="6" spans="1:9" x14ac:dyDescent="0.3">
      <c r="A6" s="28" t="s">
        <v>5</v>
      </c>
      <c r="B6" s="29"/>
      <c r="C6" s="28"/>
      <c r="D6" s="29">
        <f>B6+C6</f>
        <v>0</v>
      </c>
      <c r="E6" s="28"/>
      <c r="F6" s="29"/>
      <c r="G6" s="29">
        <f>D6-E6-F6</f>
        <v>0</v>
      </c>
      <c r="H6" s="30">
        <v>30</v>
      </c>
      <c r="I6" s="19">
        <f>G6*H6</f>
        <v>0</v>
      </c>
    </row>
    <row r="7" spans="1:9" x14ac:dyDescent="0.3">
      <c r="A7" s="28" t="s">
        <v>362</v>
      </c>
      <c r="B7" s="28">
        <v>4000</v>
      </c>
      <c r="C7" s="28"/>
      <c r="D7" s="29">
        <f t="shared" ref="D7:D96" si="0">B7+C7</f>
        <v>4000</v>
      </c>
      <c r="E7" s="28"/>
      <c r="F7" s="28">
        <v>3500</v>
      </c>
      <c r="G7" s="29">
        <f t="shared" ref="G7:G131" si="1">D7-E7-F7</f>
        <v>500</v>
      </c>
      <c r="H7" s="30">
        <v>30</v>
      </c>
      <c r="I7" s="19">
        <f t="shared" ref="I7:I133" si="2">G7*H7</f>
        <v>15000</v>
      </c>
    </row>
    <row r="8" spans="1:9" x14ac:dyDescent="0.3">
      <c r="A8" s="28" t="s">
        <v>305</v>
      </c>
      <c r="B8" s="28">
        <v>10</v>
      </c>
      <c r="C8" s="28">
        <v>20</v>
      </c>
      <c r="D8" s="29">
        <f t="shared" si="0"/>
        <v>30</v>
      </c>
      <c r="E8" s="28"/>
      <c r="F8" s="28">
        <v>19</v>
      </c>
      <c r="G8" s="29">
        <f t="shared" si="1"/>
        <v>11</v>
      </c>
      <c r="H8" s="30">
        <v>300</v>
      </c>
      <c r="I8" s="19">
        <f t="shared" si="2"/>
        <v>3300</v>
      </c>
    </row>
    <row r="9" spans="1:9" x14ac:dyDescent="0.3">
      <c r="A9" s="28" t="s">
        <v>6</v>
      </c>
      <c r="B9" s="28"/>
      <c r="C9" s="28"/>
      <c r="D9" s="29">
        <f t="shared" si="0"/>
        <v>0</v>
      </c>
      <c r="E9" s="28"/>
      <c r="F9" s="28"/>
      <c r="G9" s="29">
        <f t="shared" si="1"/>
        <v>0</v>
      </c>
      <c r="H9" s="30">
        <v>30</v>
      </c>
      <c r="I9" s="19">
        <f t="shared" si="2"/>
        <v>0</v>
      </c>
    </row>
    <row r="10" spans="1:9" x14ac:dyDescent="0.3">
      <c r="A10" s="28" t="s">
        <v>7</v>
      </c>
      <c r="B10" s="28">
        <v>50</v>
      </c>
      <c r="C10" s="28"/>
      <c r="D10" s="29">
        <f t="shared" si="0"/>
        <v>50</v>
      </c>
      <c r="E10" s="28"/>
      <c r="F10" s="28">
        <v>25</v>
      </c>
      <c r="G10" s="29">
        <f t="shared" si="1"/>
        <v>25</v>
      </c>
      <c r="H10" s="30">
        <v>20</v>
      </c>
      <c r="I10" s="19">
        <f t="shared" si="2"/>
        <v>500</v>
      </c>
    </row>
    <row r="11" spans="1:9" x14ac:dyDescent="0.3">
      <c r="A11" s="28" t="s">
        <v>92</v>
      </c>
      <c r="B11" s="28">
        <v>5</v>
      </c>
      <c r="C11" s="28"/>
      <c r="D11" s="29">
        <f t="shared" si="0"/>
        <v>5</v>
      </c>
      <c r="E11" s="28"/>
      <c r="F11" s="28">
        <v>4</v>
      </c>
      <c r="G11" s="29">
        <f t="shared" si="1"/>
        <v>1</v>
      </c>
      <c r="H11" s="30">
        <v>250</v>
      </c>
      <c r="I11" s="19">
        <f t="shared" si="2"/>
        <v>250</v>
      </c>
    </row>
    <row r="12" spans="1:9" x14ac:dyDescent="0.3">
      <c r="A12" s="28" t="s">
        <v>181</v>
      </c>
      <c r="B12" s="28"/>
      <c r="C12" s="28"/>
      <c r="D12" s="29">
        <f t="shared" si="0"/>
        <v>0</v>
      </c>
      <c r="E12" s="28"/>
      <c r="F12" s="28"/>
      <c r="G12" s="29">
        <f t="shared" si="1"/>
        <v>0</v>
      </c>
      <c r="H12" s="30">
        <v>10</v>
      </c>
      <c r="I12" s="19">
        <f t="shared" si="2"/>
        <v>0</v>
      </c>
    </row>
    <row r="13" spans="1:9" x14ac:dyDescent="0.3">
      <c r="A13" s="28" t="s">
        <v>276</v>
      </c>
      <c r="B13" s="28">
        <v>7000</v>
      </c>
      <c r="C13" s="28"/>
      <c r="D13" s="29">
        <f t="shared" si="0"/>
        <v>7000</v>
      </c>
      <c r="E13" s="28"/>
      <c r="F13" s="28">
        <v>6500</v>
      </c>
      <c r="G13" s="29">
        <f t="shared" si="1"/>
        <v>500</v>
      </c>
      <c r="H13" s="30">
        <v>20</v>
      </c>
      <c r="I13" s="19">
        <f t="shared" si="2"/>
        <v>10000</v>
      </c>
    </row>
    <row r="14" spans="1:9" x14ac:dyDescent="0.3">
      <c r="A14" s="28" t="s">
        <v>207</v>
      </c>
      <c r="B14" s="28"/>
      <c r="C14" s="28"/>
      <c r="D14" s="29">
        <f t="shared" si="0"/>
        <v>0</v>
      </c>
      <c r="E14" s="28"/>
      <c r="F14" s="28"/>
      <c r="G14" s="29">
        <f t="shared" si="1"/>
        <v>0</v>
      </c>
      <c r="H14" s="30">
        <v>1500</v>
      </c>
      <c r="I14" s="19">
        <f t="shared" si="2"/>
        <v>0</v>
      </c>
    </row>
    <row r="15" spans="1:9" x14ac:dyDescent="0.3">
      <c r="A15" s="28" t="s">
        <v>179</v>
      </c>
      <c r="B15" s="28">
        <v>1000</v>
      </c>
      <c r="C15" s="28"/>
      <c r="D15" s="29">
        <f t="shared" si="0"/>
        <v>1000</v>
      </c>
      <c r="E15" s="28"/>
      <c r="F15" s="28">
        <v>600</v>
      </c>
      <c r="G15" s="29">
        <f t="shared" si="1"/>
        <v>400</v>
      </c>
      <c r="H15" s="30">
        <v>30</v>
      </c>
      <c r="I15" s="19">
        <f t="shared" si="2"/>
        <v>12000</v>
      </c>
    </row>
    <row r="16" spans="1:9" x14ac:dyDescent="0.3">
      <c r="A16" s="28" t="s">
        <v>306</v>
      </c>
      <c r="B16" s="28"/>
      <c r="C16" s="28"/>
      <c r="D16" s="29">
        <f t="shared" si="0"/>
        <v>0</v>
      </c>
      <c r="E16" s="28"/>
      <c r="F16" s="28"/>
      <c r="G16" s="29">
        <f t="shared" si="1"/>
        <v>0</v>
      </c>
      <c r="H16" s="30">
        <v>5</v>
      </c>
      <c r="I16" s="19">
        <f t="shared" si="2"/>
        <v>0</v>
      </c>
    </row>
    <row r="17" spans="1:9" x14ac:dyDescent="0.3">
      <c r="A17" s="28" t="s">
        <v>280</v>
      </c>
      <c r="B17" s="28"/>
      <c r="C17" s="28"/>
      <c r="D17" s="29">
        <f t="shared" si="0"/>
        <v>0</v>
      </c>
      <c r="E17" s="28"/>
      <c r="F17" s="28"/>
      <c r="G17" s="29">
        <f t="shared" si="1"/>
        <v>0</v>
      </c>
      <c r="H17" s="30">
        <v>900</v>
      </c>
      <c r="I17" s="19">
        <f t="shared" si="2"/>
        <v>0</v>
      </c>
    </row>
    <row r="18" spans="1:9" x14ac:dyDescent="0.3">
      <c r="A18" s="28" t="s">
        <v>325</v>
      </c>
      <c r="B18" s="28"/>
      <c r="C18" s="28"/>
      <c r="D18" s="29">
        <f t="shared" si="0"/>
        <v>0</v>
      </c>
      <c r="E18" s="28"/>
      <c r="F18" s="28"/>
      <c r="G18" s="29">
        <f t="shared" si="1"/>
        <v>0</v>
      </c>
      <c r="H18" s="30">
        <v>850</v>
      </c>
      <c r="I18" s="19">
        <f t="shared" si="2"/>
        <v>0</v>
      </c>
    </row>
    <row r="19" spans="1:9" x14ac:dyDescent="0.3">
      <c r="A19" s="28" t="s">
        <v>343</v>
      </c>
      <c r="B19" s="28">
        <v>1</v>
      </c>
      <c r="C19" s="28"/>
      <c r="D19" s="29">
        <f t="shared" si="0"/>
        <v>1</v>
      </c>
      <c r="E19" s="28"/>
      <c r="F19" s="28"/>
      <c r="G19" s="29">
        <f t="shared" si="1"/>
        <v>1</v>
      </c>
      <c r="H19" s="30">
        <v>1300</v>
      </c>
      <c r="I19" s="19">
        <f t="shared" si="2"/>
        <v>1300</v>
      </c>
    </row>
    <row r="20" spans="1:9" x14ac:dyDescent="0.3">
      <c r="A20" s="28"/>
      <c r="B20" s="28"/>
      <c r="C20" s="28"/>
      <c r="D20" s="29">
        <f t="shared" si="0"/>
        <v>0</v>
      </c>
      <c r="E20" s="28"/>
      <c r="F20" s="28"/>
      <c r="G20" s="29">
        <f t="shared" si="1"/>
        <v>0</v>
      </c>
      <c r="H20" s="30"/>
      <c r="I20" s="19">
        <f t="shared" si="2"/>
        <v>0</v>
      </c>
    </row>
    <row r="21" spans="1:9" x14ac:dyDescent="0.3">
      <c r="A21" s="24" t="s">
        <v>130</v>
      </c>
      <c r="B21" s="28"/>
      <c r="C21" s="28"/>
      <c r="D21" s="29">
        <f t="shared" si="0"/>
        <v>0</v>
      </c>
      <c r="E21" s="28"/>
      <c r="F21" s="28"/>
      <c r="G21" s="29">
        <f t="shared" si="1"/>
        <v>0</v>
      </c>
      <c r="H21" s="30"/>
      <c r="I21" s="19">
        <f t="shared" si="2"/>
        <v>0</v>
      </c>
    </row>
    <row r="22" spans="1:9" x14ac:dyDescent="0.3">
      <c r="A22" s="28" t="s">
        <v>310</v>
      </c>
      <c r="B22" s="28">
        <v>400</v>
      </c>
      <c r="C22" s="28"/>
      <c r="D22" s="29">
        <f t="shared" si="0"/>
        <v>400</v>
      </c>
      <c r="E22" s="28"/>
      <c r="F22" s="28">
        <v>300</v>
      </c>
      <c r="G22" s="29">
        <f t="shared" si="1"/>
        <v>100</v>
      </c>
      <c r="H22" s="30">
        <v>25</v>
      </c>
      <c r="I22" s="19">
        <f t="shared" si="2"/>
        <v>2500</v>
      </c>
    </row>
    <row r="23" spans="1:9" x14ac:dyDescent="0.3">
      <c r="A23" s="28" t="s">
        <v>311</v>
      </c>
      <c r="B23" s="28">
        <v>200</v>
      </c>
      <c r="C23" s="28"/>
      <c r="D23" s="29">
        <f>B23+C23</f>
        <v>200</v>
      </c>
      <c r="E23" s="28"/>
      <c r="F23" s="28">
        <v>200</v>
      </c>
      <c r="G23" s="29">
        <f>D23-E23-F23</f>
        <v>0</v>
      </c>
      <c r="H23" s="30">
        <v>10</v>
      </c>
      <c r="I23" s="19">
        <f t="shared" si="2"/>
        <v>0</v>
      </c>
    </row>
    <row r="24" spans="1:9" x14ac:dyDescent="0.3">
      <c r="A24" s="28" t="s">
        <v>141</v>
      </c>
      <c r="B24" s="28">
        <v>200</v>
      </c>
      <c r="C24" s="28">
        <v>1000</v>
      </c>
      <c r="D24" s="29">
        <f t="shared" si="0"/>
        <v>1200</v>
      </c>
      <c r="E24" s="28"/>
      <c r="F24" s="28">
        <v>600</v>
      </c>
      <c r="G24" s="29">
        <f t="shared" si="1"/>
        <v>600</v>
      </c>
      <c r="H24" s="30">
        <v>15</v>
      </c>
      <c r="I24" s="19">
        <f>G24*H24</f>
        <v>9000</v>
      </c>
    </row>
    <row r="25" spans="1:9" x14ac:dyDescent="0.3">
      <c r="A25" s="28" t="s">
        <v>330</v>
      </c>
      <c r="B25" s="28">
        <v>150</v>
      </c>
      <c r="C25" s="28"/>
      <c r="D25" s="29">
        <f t="shared" si="0"/>
        <v>150</v>
      </c>
      <c r="E25" s="28"/>
      <c r="F25" s="28">
        <v>150</v>
      </c>
      <c r="G25" s="29">
        <f t="shared" si="1"/>
        <v>0</v>
      </c>
      <c r="H25" s="30">
        <v>15</v>
      </c>
      <c r="I25" s="19">
        <f t="shared" si="2"/>
        <v>0</v>
      </c>
    </row>
    <row r="26" spans="1:9" x14ac:dyDescent="0.3">
      <c r="A26" s="28" t="s">
        <v>359</v>
      </c>
      <c r="B26" s="28">
        <v>30</v>
      </c>
      <c r="C26" s="28"/>
      <c r="D26" s="29">
        <f t="shared" si="0"/>
        <v>30</v>
      </c>
      <c r="E26" s="28"/>
      <c r="F26" s="28">
        <v>30</v>
      </c>
      <c r="G26" s="29">
        <f t="shared" si="1"/>
        <v>0</v>
      </c>
      <c r="H26" s="30">
        <v>25</v>
      </c>
      <c r="I26" s="19">
        <f t="shared" si="2"/>
        <v>0</v>
      </c>
    </row>
    <row r="27" spans="1:9" x14ac:dyDescent="0.3">
      <c r="A27" s="28" t="s">
        <v>245</v>
      </c>
      <c r="B27" s="28">
        <v>50</v>
      </c>
      <c r="C27" s="28"/>
      <c r="D27" s="29">
        <f t="shared" si="0"/>
        <v>50</v>
      </c>
      <c r="E27" s="28"/>
      <c r="F27" s="28"/>
      <c r="G27" s="29">
        <f t="shared" si="1"/>
        <v>50</v>
      </c>
      <c r="H27" s="30">
        <v>10</v>
      </c>
      <c r="I27" s="19">
        <f t="shared" si="2"/>
        <v>500</v>
      </c>
    </row>
    <row r="28" spans="1:9" x14ac:dyDescent="0.3">
      <c r="A28" s="28" t="s">
        <v>391</v>
      </c>
      <c r="B28" s="28">
        <v>90</v>
      </c>
      <c r="C28" s="28"/>
      <c r="D28" s="29">
        <f t="shared" si="0"/>
        <v>90</v>
      </c>
      <c r="E28" s="28"/>
      <c r="F28" s="28"/>
      <c r="G28" s="29">
        <f t="shared" si="1"/>
        <v>90</v>
      </c>
      <c r="H28" s="30">
        <v>60</v>
      </c>
      <c r="I28" s="19">
        <f t="shared" si="2"/>
        <v>5400</v>
      </c>
    </row>
    <row r="29" spans="1:9" x14ac:dyDescent="0.3">
      <c r="A29" s="24" t="s">
        <v>8</v>
      </c>
      <c r="B29" s="28"/>
      <c r="C29" s="28"/>
      <c r="D29" s="29">
        <f t="shared" si="0"/>
        <v>0</v>
      </c>
      <c r="E29" s="28"/>
      <c r="F29" s="28"/>
      <c r="G29" s="29">
        <f t="shared" si="1"/>
        <v>0</v>
      </c>
      <c r="H29" s="30"/>
      <c r="I29" s="19">
        <f t="shared" si="2"/>
        <v>0</v>
      </c>
    </row>
    <row r="30" spans="1:9" x14ac:dyDescent="0.3">
      <c r="A30" s="28" t="s">
        <v>9</v>
      </c>
      <c r="B30" s="28"/>
      <c r="C30" s="28"/>
      <c r="D30" s="29">
        <f t="shared" si="0"/>
        <v>0</v>
      </c>
      <c r="E30" s="28"/>
      <c r="F30" s="28"/>
      <c r="G30" s="29">
        <f t="shared" si="1"/>
        <v>0</v>
      </c>
      <c r="H30" s="30">
        <v>6200</v>
      </c>
      <c r="I30" s="19">
        <f t="shared" si="2"/>
        <v>0</v>
      </c>
    </row>
    <row r="31" spans="1:9" x14ac:dyDescent="0.3">
      <c r="A31" s="28" t="s">
        <v>10</v>
      </c>
      <c r="B31" s="28">
        <v>6000</v>
      </c>
      <c r="C31" s="28"/>
      <c r="D31" s="29">
        <f t="shared" si="0"/>
        <v>6000</v>
      </c>
      <c r="E31" s="28"/>
      <c r="F31" s="28">
        <v>6000</v>
      </c>
      <c r="G31" s="29">
        <f t="shared" si="1"/>
        <v>0</v>
      </c>
      <c r="H31" s="30">
        <v>20</v>
      </c>
      <c r="I31" s="19">
        <f t="shared" si="2"/>
        <v>0</v>
      </c>
    </row>
    <row r="32" spans="1:9" x14ac:dyDescent="0.3">
      <c r="A32" s="28" t="s">
        <v>216</v>
      </c>
      <c r="B32" s="28">
        <v>50</v>
      </c>
      <c r="C32" s="28"/>
      <c r="D32" s="29">
        <f t="shared" si="0"/>
        <v>50</v>
      </c>
      <c r="E32" s="28"/>
      <c r="F32" s="28">
        <v>50</v>
      </c>
      <c r="G32" s="29">
        <f t="shared" si="1"/>
        <v>0</v>
      </c>
      <c r="H32" s="30">
        <v>30</v>
      </c>
      <c r="I32" s="19">
        <f t="shared" si="2"/>
        <v>0</v>
      </c>
    </row>
    <row r="33" spans="1:9" x14ac:dyDescent="0.3">
      <c r="A33" s="28"/>
      <c r="B33" s="28"/>
      <c r="C33" s="28"/>
      <c r="D33" s="29">
        <f t="shared" si="0"/>
        <v>0</v>
      </c>
      <c r="E33" s="28"/>
      <c r="F33" s="28"/>
      <c r="G33" s="29">
        <f t="shared" si="1"/>
        <v>0</v>
      </c>
      <c r="H33" s="30"/>
      <c r="I33" s="19">
        <f t="shared" si="2"/>
        <v>0</v>
      </c>
    </row>
    <row r="34" spans="1:9" x14ac:dyDescent="0.3">
      <c r="A34" s="24" t="s">
        <v>11</v>
      </c>
      <c r="B34" s="28"/>
      <c r="C34" s="28"/>
      <c r="D34" s="29">
        <f t="shared" si="0"/>
        <v>0</v>
      </c>
      <c r="E34" s="28"/>
      <c r="F34" s="28"/>
      <c r="G34" s="29">
        <f t="shared" si="1"/>
        <v>0</v>
      </c>
      <c r="H34" s="30"/>
      <c r="I34" s="19">
        <f t="shared" si="2"/>
        <v>0</v>
      </c>
    </row>
    <row r="35" spans="1:9" x14ac:dyDescent="0.3">
      <c r="A35" s="28" t="s">
        <v>12</v>
      </c>
      <c r="B35" s="28">
        <v>1500</v>
      </c>
      <c r="C35" s="28">
        <v>1000</v>
      </c>
      <c r="D35" s="29">
        <f t="shared" si="0"/>
        <v>2500</v>
      </c>
      <c r="E35" s="28"/>
      <c r="F35" s="28">
        <v>1500</v>
      </c>
      <c r="G35" s="29">
        <f t="shared" si="1"/>
        <v>1000</v>
      </c>
      <c r="H35" s="30">
        <v>2</v>
      </c>
      <c r="I35" s="19">
        <f t="shared" si="2"/>
        <v>2000</v>
      </c>
    </row>
    <row r="36" spans="1:9" x14ac:dyDescent="0.3">
      <c r="A36" s="28" t="s">
        <v>13</v>
      </c>
      <c r="B36" s="28">
        <v>500</v>
      </c>
      <c r="C36" s="28">
        <v>2000</v>
      </c>
      <c r="D36" s="29">
        <f t="shared" si="0"/>
        <v>2500</v>
      </c>
      <c r="E36" s="28"/>
      <c r="F36" s="28">
        <v>1500</v>
      </c>
      <c r="G36" s="29">
        <f t="shared" si="1"/>
        <v>1000</v>
      </c>
      <c r="H36" s="30">
        <v>2</v>
      </c>
      <c r="I36" s="19">
        <f t="shared" si="2"/>
        <v>2000</v>
      </c>
    </row>
    <row r="37" spans="1:9" x14ac:dyDescent="0.3">
      <c r="A37" s="28" t="s">
        <v>14</v>
      </c>
      <c r="B37" s="28">
        <v>500</v>
      </c>
      <c r="C37" s="28">
        <v>2000</v>
      </c>
      <c r="D37" s="29">
        <f t="shared" si="0"/>
        <v>2500</v>
      </c>
      <c r="E37" s="28"/>
      <c r="F37" s="28">
        <v>1500</v>
      </c>
      <c r="G37" s="29">
        <f t="shared" si="1"/>
        <v>1000</v>
      </c>
      <c r="H37" s="30">
        <v>4.2</v>
      </c>
      <c r="I37" s="19">
        <f t="shared" si="2"/>
        <v>4200</v>
      </c>
    </row>
    <row r="38" spans="1:9" x14ac:dyDescent="0.3">
      <c r="A38" s="28" t="s">
        <v>282</v>
      </c>
      <c r="B38" s="28"/>
      <c r="C38" s="28"/>
      <c r="D38" s="29">
        <f t="shared" si="0"/>
        <v>0</v>
      </c>
      <c r="E38" s="28"/>
      <c r="F38" s="28"/>
      <c r="G38" s="29">
        <f t="shared" si="1"/>
        <v>0</v>
      </c>
      <c r="H38" s="30">
        <v>30</v>
      </c>
      <c r="I38" s="19">
        <f t="shared" si="2"/>
        <v>0</v>
      </c>
    </row>
    <row r="39" spans="1:9" x14ac:dyDescent="0.3">
      <c r="A39" s="28" t="s">
        <v>283</v>
      </c>
      <c r="B39" s="28"/>
      <c r="C39" s="28">
        <v>500</v>
      </c>
      <c r="D39" s="29">
        <f t="shared" si="0"/>
        <v>500</v>
      </c>
      <c r="E39" s="28"/>
      <c r="F39" s="28">
        <v>500</v>
      </c>
      <c r="G39" s="29">
        <f t="shared" si="1"/>
        <v>0</v>
      </c>
      <c r="H39" s="30">
        <v>35</v>
      </c>
      <c r="I39" s="19">
        <f t="shared" si="2"/>
        <v>0</v>
      </c>
    </row>
    <row r="40" spans="1:9" x14ac:dyDescent="0.3">
      <c r="A40" s="28" t="s">
        <v>96</v>
      </c>
      <c r="B40" s="28"/>
      <c r="C40" s="28">
        <v>30</v>
      </c>
      <c r="D40" s="29">
        <f t="shared" si="0"/>
        <v>30</v>
      </c>
      <c r="E40" s="28"/>
      <c r="F40" s="28">
        <v>20</v>
      </c>
      <c r="G40" s="29">
        <f t="shared" si="1"/>
        <v>10</v>
      </c>
      <c r="H40" s="31">
        <v>480</v>
      </c>
      <c r="I40" s="19">
        <f t="shared" si="2"/>
        <v>4800</v>
      </c>
    </row>
    <row r="41" spans="1:9" x14ac:dyDescent="0.3">
      <c r="A41" s="28" t="s">
        <v>97</v>
      </c>
      <c r="B41" s="28">
        <v>15</v>
      </c>
      <c r="C41" s="28"/>
      <c r="D41" s="29">
        <f t="shared" si="0"/>
        <v>15</v>
      </c>
      <c r="E41" s="28"/>
      <c r="F41" s="28">
        <v>6</v>
      </c>
      <c r="G41" s="29">
        <f t="shared" si="1"/>
        <v>9</v>
      </c>
      <c r="H41" s="30">
        <v>820</v>
      </c>
      <c r="I41" s="19">
        <f t="shared" si="2"/>
        <v>7380</v>
      </c>
    </row>
    <row r="42" spans="1:9" x14ac:dyDescent="0.3">
      <c r="A42" s="28" t="s">
        <v>98</v>
      </c>
      <c r="B42" s="28"/>
      <c r="C42" s="28">
        <v>10</v>
      </c>
      <c r="D42" s="29">
        <f t="shared" si="0"/>
        <v>10</v>
      </c>
      <c r="E42" s="28"/>
      <c r="F42" s="28">
        <v>6</v>
      </c>
      <c r="G42" s="29">
        <f t="shared" si="1"/>
        <v>4</v>
      </c>
      <c r="H42" s="31">
        <v>900</v>
      </c>
      <c r="I42" s="19">
        <f t="shared" si="2"/>
        <v>3600</v>
      </c>
    </row>
    <row r="43" spans="1:9" x14ac:dyDescent="0.3">
      <c r="A43" s="28" t="s">
        <v>80</v>
      </c>
      <c r="B43" s="28">
        <v>500</v>
      </c>
      <c r="C43" s="28">
        <v>2000</v>
      </c>
      <c r="D43" s="29">
        <f t="shared" si="0"/>
        <v>2500</v>
      </c>
      <c r="E43" s="28"/>
      <c r="F43" s="28">
        <v>1500</v>
      </c>
      <c r="G43" s="29">
        <f t="shared" si="1"/>
        <v>1000</v>
      </c>
      <c r="H43" s="30">
        <v>2.5</v>
      </c>
      <c r="I43" s="19">
        <f t="shared" si="2"/>
        <v>2500</v>
      </c>
    </row>
    <row r="44" spans="1:9" x14ac:dyDescent="0.3">
      <c r="A44" s="28" t="s">
        <v>93</v>
      </c>
      <c r="B44" s="28">
        <v>6</v>
      </c>
      <c r="C44" s="28">
        <v>10</v>
      </c>
      <c r="D44" s="29">
        <f t="shared" si="0"/>
        <v>16</v>
      </c>
      <c r="E44" s="28"/>
      <c r="F44" s="28">
        <v>13</v>
      </c>
      <c r="G44" s="29">
        <f t="shared" si="1"/>
        <v>3</v>
      </c>
      <c r="H44" s="30">
        <v>800</v>
      </c>
      <c r="I44" s="19">
        <f t="shared" si="2"/>
        <v>2400</v>
      </c>
    </row>
    <row r="45" spans="1:9" x14ac:dyDescent="0.3">
      <c r="A45" s="28" t="s">
        <v>134</v>
      </c>
      <c r="B45" s="28">
        <v>12</v>
      </c>
      <c r="C45" s="28">
        <v>20</v>
      </c>
      <c r="D45" s="29">
        <f t="shared" si="0"/>
        <v>32</v>
      </c>
      <c r="E45" s="28"/>
      <c r="F45" s="28">
        <v>20</v>
      </c>
      <c r="G45" s="29">
        <f t="shared" si="1"/>
        <v>12</v>
      </c>
      <c r="H45" s="30">
        <v>600</v>
      </c>
      <c r="I45" s="19">
        <f t="shared" si="2"/>
        <v>7200</v>
      </c>
    </row>
    <row r="46" spans="1:9" x14ac:dyDescent="0.3">
      <c r="A46" s="28" t="s">
        <v>135</v>
      </c>
      <c r="B46" s="28">
        <v>6</v>
      </c>
      <c r="C46" s="28"/>
      <c r="D46" s="29">
        <f t="shared" si="0"/>
        <v>6</v>
      </c>
      <c r="E46" s="28"/>
      <c r="F46" s="28"/>
      <c r="G46" s="29">
        <f t="shared" si="1"/>
        <v>6</v>
      </c>
      <c r="H46" s="30">
        <v>600</v>
      </c>
      <c r="I46" s="19">
        <f t="shared" si="2"/>
        <v>3600</v>
      </c>
    </row>
    <row r="47" spans="1:9" x14ac:dyDescent="0.3">
      <c r="A47" s="28" t="s">
        <v>363</v>
      </c>
      <c r="B47" s="28">
        <v>7</v>
      </c>
      <c r="C47" s="28"/>
      <c r="D47" s="29">
        <f t="shared" si="0"/>
        <v>7</v>
      </c>
      <c r="E47" s="28"/>
      <c r="F47" s="28"/>
      <c r="G47" s="29">
        <f t="shared" si="1"/>
        <v>7</v>
      </c>
      <c r="H47" s="30">
        <v>800</v>
      </c>
      <c r="I47" s="19">
        <f t="shared" si="2"/>
        <v>5600</v>
      </c>
    </row>
    <row r="48" spans="1:9" x14ac:dyDescent="0.3">
      <c r="A48" s="28" t="s">
        <v>288</v>
      </c>
      <c r="B48" s="28">
        <v>1</v>
      </c>
      <c r="C48" s="28"/>
      <c r="D48" s="29">
        <f t="shared" si="0"/>
        <v>1</v>
      </c>
      <c r="E48" s="28"/>
      <c r="F48" s="28"/>
      <c r="G48" s="29">
        <f t="shared" si="1"/>
        <v>1</v>
      </c>
      <c r="H48" s="30">
        <v>2000</v>
      </c>
      <c r="I48" s="19">
        <f t="shared" si="2"/>
        <v>2000</v>
      </c>
    </row>
    <row r="49" spans="1:9" x14ac:dyDescent="0.3">
      <c r="A49" s="28" t="s">
        <v>94</v>
      </c>
      <c r="B49" s="28"/>
      <c r="C49" s="28"/>
      <c r="D49" s="29">
        <f t="shared" si="0"/>
        <v>0</v>
      </c>
      <c r="E49" s="28"/>
      <c r="F49" s="28"/>
      <c r="G49" s="29">
        <f t="shared" si="1"/>
        <v>0</v>
      </c>
      <c r="H49" s="30">
        <v>400</v>
      </c>
      <c r="I49" s="19">
        <f t="shared" si="2"/>
        <v>0</v>
      </c>
    </row>
    <row r="50" spans="1:9" x14ac:dyDescent="0.3">
      <c r="A50" s="28" t="s">
        <v>289</v>
      </c>
      <c r="B50" s="28">
        <v>3</v>
      </c>
      <c r="C50" s="28"/>
      <c r="D50" s="29">
        <f t="shared" si="0"/>
        <v>3</v>
      </c>
      <c r="E50" s="28"/>
      <c r="F50" s="28">
        <v>2</v>
      </c>
      <c r="G50" s="29">
        <f t="shared" si="1"/>
        <v>1</v>
      </c>
      <c r="H50" s="30">
        <v>3000</v>
      </c>
      <c r="I50" s="19">
        <f t="shared" si="2"/>
        <v>3000</v>
      </c>
    </row>
    <row r="51" spans="1:9" x14ac:dyDescent="0.3">
      <c r="A51" s="28" t="s">
        <v>177</v>
      </c>
      <c r="B51" s="28"/>
      <c r="C51" s="28"/>
      <c r="D51" s="29">
        <f t="shared" si="0"/>
        <v>0</v>
      </c>
      <c r="E51" s="28"/>
      <c r="F51" s="28"/>
      <c r="G51" s="29">
        <f t="shared" si="1"/>
        <v>0</v>
      </c>
      <c r="H51" s="30">
        <v>800</v>
      </c>
      <c r="I51" s="19">
        <f t="shared" si="2"/>
        <v>0</v>
      </c>
    </row>
    <row r="52" spans="1:9" x14ac:dyDescent="0.3">
      <c r="A52" s="28" t="s">
        <v>178</v>
      </c>
      <c r="B52" s="28">
        <v>20</v>
      </c>
      <c r="C52" s="28"/>
      <c r="D52" s="29">
        <f t="shared" si="0"/>
        <v>20</v>
      </c>
      <c r="E52" s="28"/>
      <c r="F52" s="28">
        <v>19</v>
      </c>
      <c r="G52" s="29">
        <f t="shared" si="1"/>
        <v>1</v>
      </c>
      <c r="H52" s="30">
        <v>400</v>
      </c>
      <c r="I52" s="19">
        <f t="shared" si="2"/>
        <v>400</v>
      </c>
    </row>
    <row r="53" spans="1:9" x14ac:dyDescent="0.3">
      <c r="A53" s="28" t="s">
        <v>206</v>
      </c>
      <c r="B53" s="28">
        <v>500</v>
      </c>
      <c r="C53" s="28"/>
      <c r="D53" s="29">
        <f t="shared" si="0"/>
        <v>500</v>
      </c>
      <c r="E53" s="28"/>
      <c r="F53" s="28"/>
      <c r="G53" s="29">
        <f t="shared" si="1"/>
        <v>500</v>
      </c>
      <c r="H53" s="30">
        <v>2</v>
      </c>
      <c r="I53" s="19">
        <f t="shared" si="2"/>
        <v>1000</v>
      </c>
    </row>
    <row r="54" spans="1:9" x14ac:dyDescent="0.3">
      <c r="A54" s="28" t="s">
        <v>238</v>
      </c>
      <c r="B54" s="28">
        <v>50</v>
      </c>
      <c r="C54" s="28"/>
      <c r="D54" s="29">
        <f t="shared" si="0"/>
        <v>50</v>
      </c>
      <c r="E54" s="28"/>
      <c r="F54" s="28">
        <v>50</v>
      </c>
      <c r="G54" s="29">
        <f t="shared" si="1"/>
        <v>0</v>
      </c>
      <c r="H54" s="30">
        <v>5</v>
      </c>
      <c r="I54" s="19">
        <f t="shared" si="2"/>
        <v>0</v>
      </c>
    </row>
    <row r="55" spans="1:9" x14ac:dyDescent="0.3">
      <c r="A55" s="28" t="s">
        <v>152</v>
      </c>
      <c r="B55" s="28">
        <v>6</v>
      </c>
      <c r="C55" s="28"/>
      <c r="D55" s="29">
        <f t="shared" si="0"/>
        <v>6</v>
      </c>
      <c r="E55" s="28"/>
      <c r="F55" s="28"/>
      <c r="G55" s="29">
        <f t="shared" si="1"/>
        <v>6</v>
      </c>
      <c r="H55" s="30">
        <v>85</v>
      </c>
      <c r="I55" s="19">
        <f t="shared" si="2"/>
        <v>510</v>
      </c>
    </row>
    <row r="56" spans="1:9" x14ac:dyDescent="0.3">
      <c r="A56" s="28" t="s">
        <v>400</v>
      </c>
      <c r="B56" s="28">
        <v>4</v>
      </c>
      <c r="C56" s="28"/>
      <c r="D56" s="29">
        <f t="shared" si="0"/>
        <v>4</v>
      </c>
      <c r="E56" s="28"/>
      <c r="F56" s="28">
        <v>3</v>
      </c>
      <c r="G56" s="29">
        <f t="shared" si="1"/>
        <v>1</v>
      </c>
      <c r="H56" s="30">
        <v>1100</v>
      </c>
      <c r="I56" s="19">
        <f t="shared" si="2"/>
        <v>1100</v>
      </c>
    </row>
    <row r="57" spans="1:9" x14ac:dyDescent="0.3">
      <c r="A57" s="28" t="s">
        <v>401</v>
      </c>
      <c r="B57" s="28">
        <v>2</v>
      </c>
      <c r="C57" s="28"/>
      <c r="D57" s="29">
        <f t="shared" si="0"/>
        <v>2</v>
      </c>
      <c r="E57" s="28"/>
      <c r="F57" s="28">
        <v>2</v>
      </c>
      <c r="G57" s="29">
        <f t="shared" si="1"/>
        <v>0</v>
      </c>
      <c r="H57" s="30">
        <v>800</v>
      </c>
      <c r="I57" s="19">
        <f t="shared" si="2"/>
        <v>0</v>
      </c>
    </row>
    <row r="58" spans="1:9" x14ac:dyDescent="0.3">
      <c r="A58" s="28" t="s">
        <v>402</v>
      </c>
      <c r="B58" s="28">
        <v>2</v>
      </c>
      <c r="C58" s="28"/>
      <c r="D58" s="29">
        <f t="shared" si="0"/>
        <v>2</v>
      </c>
      <c r="E58" s="28"/>
      <c r="F58" s="28">
        <v>2</v>
      </c>
      <c r="G58" s="29">
        <f t="shared" si="1"/>
        <v>0</v>
      </c>
      <c r="H58" s="30">
        <v>1000</v>
      </c>
      <c r="I58" s="19">
        <f t="shared" si="2"/>
        <v>0</v>
      </c>
    </row>
    <row r="59" spans="1:9" x14ac:dyDescent="0.3">
      <c r="A59" s="28" t="s">
        <v>403</v>
      </c>
      <c r="B59" s="28"/>
      <c r="C59" s="28"/>
      <c r="D59" s="29">
        <f t="shared" si="0"/>
        <v>0</v>
      </c>
      <c r="E59" s="28"/>
      <c r="F59" s="28"/>
      <c r="G59" s="29">
        <f t="shared" si="1"/>
        <v>0</v>
      </c>
      <c r="H59" s="30">
        <v>1000</v>
      </c>
      <c r="I59" s="19">
        <f t="shared" si="2"/>
        <v>0</v>
      </c>
    </row>
    <row r="60" spans="1:9" x14ac:dyDescent="0.3">
      <c r="A60" s="28" t="s">
        <v>404</v>
      </c>
      <c r="B60" s="28"/>
      <c r="C60" s="28"/>
      <c r="D60" s="29">
        <f t="shared" si="0"/>
        <v>0</v>
      </c>
      <c r="E60" s="28"/>
      <c r="F60" s="28"/>
      <c r="G60" s="29">
        <f t="shared" si="1"/>
        <v>0</v>
      </c>
      <c r="H60" s="30">
        <v>1300</v>
      </c>
      <c r="I60" s="19">
        <f t="shared" si="2"/>
        <v>0</v>
      </c>
    </row>
    <row r="61" spans="1:9" x14ac:dyDescent="0.3">
      <c r="A61" s="28" t="s">
        <v>405</v>
      </c>
      <c r="B61" s="28">
        <v>2</v>
      </c>
      <c r="C61" s="28"/>
      <c r="D61" s="29">
        <f t="shared" si="0"/>
        <v>2</v>
      </c>
      <c r="E61" s="28"/>
      <c r="F61" s="28">
        <v>2</v>
      </c>
      <c r="G61" s="29">
        <f t="shared" si="1"/>
        <v>0</v>
      </c>
      <c r="H61" s="30">
        <v>1100</v>
      </c>
      <c r="I61" s="19">
        <f t="shared" si="2"/>
        <v>0</v>
      </c>
    </row>
    <row r="62" spans="1:9" x14ac:dyDescent="0.3">
      <c r="A62" s="28" t="s">
        <v>414</v>
      </c>
      <c r="B62" s="28">
        <v>2</v>
      </c>
      <c r="C62" s="28"/>
      <c r="D62" s="29">
        <f t="shared" si="0"/>
        <v>2</v>
      </c>
      <c r="E62" s="28"/>
      <c r="F62" s="28"/>
      <c r="G62" s="29">
        <f t="shared" si="1"/>
        <v>2</v>
      </c>
      <c r="H62" s="30"/>
      <c r="I62" s="19">
        <f t="shared" si="2"/>
        <v>0</v>
      </c>
    </row>
    <row r="63" spans="1:9" x14ac:dyDescent="0.3">
      <c r="A63" s="28" t="s">
        <v>254</v>
      </c>
      <c r="B63" s="28">
        <v>14</v>
      </c>
      <c r="C63" s="28">
        <v>50</v>
      </c>
      <c r="D63" s="29">
        <f t="shared" si="0"/>
        <v>64</v>
      </c>
      <c r="E63" s="28"/>
      <c r="F63" s="28">
        <v>16</v>
      </c>
      <c r="G63" s="29">
        <f t="shared" si="1"/>
        <v>48</v>
      </c>
      <c r="H63" s="30">
        <v>500</v>
      </c>
      <c r="I63" s="19">
        <f t="shared" si="2"/>
        <v>24000</v>
      </c>
    </row>
    <row r="64" spans="1:9" x14ac:dyDescent="0.3">
      <c r="A64" s="28" t="s">
        <v>396</v>
      </c>
      <c r="B64" s="28">
        <v>9</v>
      </c>
      <c r="C64" s="28"/>
      <c r="D64" s="29">
        <f t="shared" si="0"/>
        <v>9</v>
      </c>
      <c r="E64" s="28"/>
      <c r="F64" s="28">
        <v>9</v>
      </c>
      <c r="G64" s="29">
        <f t="shared" si="1"/>
        <v>0</v>
      </c>
      <c r="H64" s="31">
        <v>800</v>
      </c>
      <c r="I64" s="19">
        <f t="shared" si="2"/>
        <v>0</v>
      </c>
    </row>
    <row r="65" spans="1:9" x14ac:dyDescent="0.3">
      <c r="A65" s="28" t="s">
        <v>255</v>
      </c>
      <c r="B65" s="28"/>
      <c r="C65" s="28"/>
      <c r="D65" s="29">
        <f t="shared" si="0"/>
        <v>0</v>
      </c>
      <c r="E65" s="28"/>
      <c r="F65" s="28"/>
      <c r="G65" s="29">
        <f t="shared" si="1"/>
        <v>0</v>
      </c>
      <c r="H65" s="30">
        <v>200</v>
      </c>
      <c r="I65" s="19">
        <f t="shared" si="2"/>
        <v>0</v>
      </c>
    </row>
    <row r="66" spans="1:9" x14ac:dyDescent="0.3">
      <c r="A66" s="28" t="s">
        <v>256</v>
      </c>
      <c r="B66" s="28">
        <v>6</v>
      </c>
      <c r="C66" s="28"/>
      <c r="D66" s="29">
        <f t="shared" si="0"/>
        <v>6</v>
      </c>
      <c r="E66" s="28"/>
      <c r="F66" s="28"/>
      <c r="G66" s="29">
        <f t="shared" si="1"/>
        <v>6</v>
      </c>
      <c r="H66" s="30">
        <v>850</v>
      </c>
      <c r="I66" s="19">
        <f t="shared" si="2"/>
        <v>5100</v>
      </c>
    </row>
    <row r="67" spans="1:9" x14ac:dyDescent="0.3">
      <c r="A67" s="28" t="s">
        <v>273</v>
      </c>
      <c r="B67" s="28">
        <v>6</v>
      </c>
      <c r="C67" s="28"/>
      <c r="D67" s="29">
        <f t="shared" si="0"/>
        <v>6</v>
      </c>
      <c r="E67" s="28"/>
      <c r="F67" s="28"/>
      <c r="G67" s="29">
        <f t="shared" si="1"/>
        <v>6</v>
      </c>
      <c r="H67" s="30">
        <v>750</v>
      </c>
      <c r="I67" s="19">
        <f t="shared" si="2"/>
        <v>4500</v>
      </c>
    </row>
    <row r="68" spans="1:9" x14ac:dyDescent="0.3">
      <c r="A68" s="28" t="s">
        <v>274</v>
      </c>
      <c r="B68" s="28">
        <v>14</v>
      </c>
      <c r="C68" s="28">
        <v>10</v>
      </c>
      <c r="D68" s="29">
        <f t="shared" si="0"/>
        <v>24</v>
      </c>
      <c r="E68" s="28"/>
      <c r="F68" s="28">
        <v>11</v>
      </c>
      <c r="G68" s="29">
        <f t="shared" si="1"/>
        <v>13</v>
      </c>
      <c r="H68" s="30">
        <v>290</v>
      </c>
      <c r="I68" s="19">
        <f t="shared" si="2"/>
        <v>3770</v>
      </c>
    </row>
    <row r="69" spans="1:9" x14ac:dyDescent="0.3">
      <c r="A69" s="28" t="s">
        <v>284</v>
      </c>
      <c r="B69" s="28"/>
      <c r="C69" s="28"/>
      <c r="D69" s="29">
        <f t="shared" si="0"/>
        <v>0</v>
      </c>
      <c r="E69" s="28"/>
      <c r="F69" s="28"/>
      <c r="G69" s="29">
        <f t="shared" si="1"/>
        <v>0</v>
      </c>
      <c r="H69" s="30">
        <v>600</v>
      </c>
      <c r="I69" s="19">
        <f t="shared" si="2"/>
        <v>0</v>
      </c>
    </row>
    <row r="70" spans="1:9" x14ac:dyDescent="0.3">
      <c r="A70" s="28" t="s">
        <v>275</v>
      </c>
      <c r="B70" s="28"/>
      <c r="C70" s="28"/>
      <c r="D70" s="29">
        <f t="shared" si="0"/>
        <v>0</v>
      </c>
      <c r="E70" s="28"/>
      <c r="F70" s="28"/>
      <c r="G70" s="29">
        <f t="shared" si="1"/>
        <v>0</v>
      </c>
      <c r="H70" s="30">
        <v>1300</v>
      </c>
      <c r="I70" s="19">
        <f t="shared" si="2"/>
        <v>0</v>
      </c>
    </row>
    <row r="71" spans="1:9" x14ac:dyDescent="0.3">
      <c r="A71" s="28" t="s">
        <v>390</v>
      </c>
      <c r="B71" s="28">
        <v>6</v>
      </c>
      <c r="C71" s="28"/>
      <c r="D71" s="29">
        <f t="shared" si="0"/>
        <v>6</v>
      </c>
      <c r="E71" s="28"/>
      <c r="F71" s="28">
        <v>2</v>
      </c>
      <c r="G71" s="29">
        <f t="shared" si="1"/>
        <v>4</v>
      </c>
      <c r="H71" s="30">
        <v>580</v>
      </c>
      <c r="I71" s="19">
        <f t="shared" si="2"/>
        <v>2320</v>
      </c>
    </row>
    <row r="72" spans="1:9" x14ac:dyDescent="0.3">
      <c r="A72" s="28" t="s">
        <v>290</v>
      </c>
      <c r="B72" s="28">
        <v>4</v>
      </c>
      <c r="C72" s="28"/>
      <c r="D72" s="29">
        <f t="shared" si="0"/>
        <v>4</v>
      </c>
      <c r="E72" s="28"/>
      <c r="F72" s="28">
        <v>3</v>
      </c>
      <c r="G72" s="29">
        <f t="shared" si="1"/>
        <v>1</v>
      </c>
      <c r="H72" s="30">
        <v>1900</v>
      </c>
      <c r="I72" s="19">
        <f t="shared" si="2"/>
        <v>1900</v>
      </c>
    </row>
    <row r="73" spans="1:9" x14ac:dyDescent="0.3">
      <c r="A73" s="28" t="s">
        <v>291</v>
      </c>
      <c r="B73" s="28"/>
      <c r="C73" s="28"/>
      <c r="D73" s="29">
        <f t="shared" si="0"/>
        <v>0</v>
      </c>
      <c r="E73" s="28"/>
      <c r="F73" s="28"/>
      <c r="G73" s="29">
        <f t="shared" si="1"/>
        <v>0</v>
      </c>
      <c r="H73" s="30">
        <v>450</v>
      </c>
      <c r="I73" s="19">
        <f t="shared" si="2"/>
        <v>0</v>
      </c>
    </row>
    <row r="74" spans="1:9" x14ac:dyDescent="0.3">
      <c r="A74" s="28" t="s">
        <v>300</v>
      </c>
      <c r="B74" s="28"/>
      <c r="C74" s="28"/>
      <c r="D74" s="29">
        <f t="shared" si="0"/>
        <v>0</v>
      </c>
      <c r="E74" s="28"/>
      <c r="F74" s="28"/>
      <c r="G74" s="29">
        <f t="shared" si="1"/>
        <v>0</v>
      </c>
      <c r="H74" s="30">
        <v>950</v>
      </c>
      <c r="I74" s="19">
        <f t="shared" si="2"/>
        <v>0</v>
      </c>
    </row>
    <row r="75" spans="1:9" x14ac:dyDescent="0.3">
      <c r="A75" s="28" t="s">
        <v>353</v>
      </c>
      <c r="B75" s="28">
        <v>1</v>
      </c>
      <c r="C75" s="28">
        <v>5</v>
      </c>
      <c r="D75" s="29">
        <f t="shared" si="0"/>
        <v>6</v>
      </c>
      <c r="E75" s="28"/>
      <c r="F75" s="28">
        <v>2</v>
      </c>
      <c r="G75" s="29">
        <f t="shared" si="1"/>
        <v>4</v>
      </c>
      <c r="H75" s="30">
        <v>3200</v>
      </c>
      <c r="I75" s="19">
        <f t="shared" si="2"/>
        <v>12800</v>
      </c>
    </row>
    <row r="76" spans="1:9" x14ac:dyDescent="0.3">
      <c r="A76" s="28" t="s">
        <v>354</v>
      </c>
      <c r="B76" s="28"/>
      <c r="C76" s="28"/>
      <c r="D76" s="29">
        <f t="shared" si="0"/>
        <v>0</v>
      </c>
      <c r="E76" s="28"/>
      <c r="F76" s="28"/>
      <c r="G76" s="29">
        <f t="shared" si="1"/>
        <v>0</v>
      </c>
      <c r="H76" s="30">
        <v>1000</v>
      </c>
      <c r="I76" s="19">
        <f t="shared" si="2"/>
        <v>0</v>
      </c>
    </row>
    <row r="77" spans="1:9" x14ac:dyDescent="0.3">
      <c r="A77" s="28" t="s">
        <v>364</v>
      </c>
      <c r="B77" s="28"/>
      <c r="C77" s="28">
        <v>5</v>
      </c>
      <c r="D77" s="29">
        <f t="shared" si="0"/>
        <v>5</v>
      </c>
      <c r="E77" s="28"/>
      <c r="F77" s="28">
        <v>1</v>
      </c>
      <c r="G77" s="29">
        <f t="shared" si="1"/>
        <v>4</v>
      </c>
      <c r="H77" s="30">
        <v>1200</v>
      </c>
      <c r="I77" s="19">
        <f t="shared" si="2"/>
        <v>4800</v>
      </c>
    </row>
    <row r="78" spans="1:9" x14ac:dyDescent="0.3">
      <c r="A78" s="28" t="s">
        <v>392</v>
      </c>
      <c r="B78" s="28"/>
      <c r="C78" s="28"/>
      <c r="D78" s="29">
        <f t="shared" si="0"/>
        <v>0</v>
      </c>
      <c r="E78" s="28"/>
      <c r="F78" s="28"/>
      <c r="G78" s="29">
        <f t="shared" si="1"/>
        <v>0</v>
      </c>
      <c r="H78" s="30">
        <v>400</v>
      </c>
      <c r="I78" s="19">
        <f t="shared" si="2"/>
        <v>0</v>
      </c>
    </row>
    <row r="79" spans="1:9" x14ac:dyDescent="0.3">
      <c r="A79" s="28" t="s">
        <v>389</v>
      </c>
      <c r="B79" s="28"/>
      <c r="C79" s="28">
        <v>10</v>
      </c>
      <c r="D79" s="29">
        <f t="shared" si="0"/>
        <v>10</v>
      </c>
      <c r="E79" s="28"/>
      <c r="F79" s="28">
        <v>5</v>
      </c>
      <c r="G79" s="29">
        <f t="shared" si="1"/>
        <v>5</v>
      </c>
      <c r="H79" s="30">
        <v>1400</v>
      </c>
      <c r="I79" s="19">
        <f t="shared" si="2"/>
        <v>7000</v>
      </c>
    </row>
    <row r="80" spans="1:9" x14ac:dyDescent="0.3">
      <c r="A80" s="28" t="s">
        <v>393</v>
      </c>
      <c r="B80" s="28"/>
      <c r="C80" s="28"/>
      <c r="D80" s="29">
        <f t="shared" si="0"/>
        <v>0</v>
      </c>
      <c r="E80" s="28"/>
      <c r="F80" s="28"/>
      <c r="G80" s="29">
        <f t="shared" si="1"/>
        <v>0</v>
      </c>
      <c r="H80" s="30">
        <v>1000</v>
      </c>
      <c r="I80" s="19">
        <f t="shared" si="2"/>
        <v>0</v>
      </c>
    </row>
    <row r="81" spans="1:9" x14ac:dyDescent="0.3">
      <c r="A81" s="28"/>
      <c r="B81" s="28"/>
      <c r="C81" s="28"/>
      <c r="D81" s="29"/>
      <c r="E81" s="28"/>
      <c r="F81" s="28"/>
      <c r="G81" s="29"/>
      <c r="H81" s="30"/>
      <c r="I81" s="19"/>
    </row>
    <row r="82" spans="1:9" x14ac:dyDescent="0.3">
      <c r="A82" s="24" t="s">
        <v>15</v>
      </c>
      <c r="B82" s="28"/>
      <c r="C82" s="28"/>
      <c r="D82" s="29">
        <f t="shared" si="0"/>
        <v>0</v>
      </c>
      <c r="E82" s="28"/>
      <c r="F82" s="28"/>
      <c r="G82" s="29">
        <f t="shared" si="1"/>
        <v>0</v>
      </c>
      <c r="H82" s="30"/>
      <c r="I82" s="19">
        <f t="shared" si="2"/>
        <v>0</v>
      </c>
    </row>
    <row r="83" spans="1:9" x14ac:dyDescent="0.3">
      <c r="A83" s="28" t="s">
        <v>16</v>
      </c>
      <c r="B83" s="28"/>
      <c r="C83" s="28"/>
      <c r="D83" s="29">
        <f t="shared" si="0"/>
        <v>0</v>
      </c>
      <c r="E83" s="28"/>
      <c r="F83" s="28"/>
      <c r="G83" s="29">
        <f t="shared" si="1"/>
        <v>0</v>
      </c>
      <c r="H83" s="30">
        <v>9</v>
      </c>
      <c r="I83" s="19">
        <f t="shared" si="2"/>
        <v>0</v>
      </c>
    </row>
    <row r="84" spans="1:9" x14ac:dyDescent="0.3">
      <c r="A84" s="28" t="s">
        <v>266</v>
      </c>
      <c r="B84" s="28">
        <v>5500</v>
      </c>
      <c r="C84" s="28"/>
      <c r="D84" s="29">
        <f t="shared" si="0"/>
        <v>5500</v>
      </c>
      <c r="E84" s="28"/>
      <c r="F84" s="28">
        <v>5000</v>
      </c>
      <c r="G84" s="29">
        <f t="shared" si="1"/>
        <v>500</v>
      </c>
      <c r="H84" s="30">
        <v>10</v>
      </c>
      <c r="I84" s="19">
        <f t="shared" si="2"/>
        <v>5000</v>
      </c>
    </row>
    <row r="85" spans="1:9" x14ac:dyDescent="0.3">
      <c r="A85" s="28" t="s">
        <v>208</v>
      </c>
      <c r="B85" s="28"/>
      <c r="C85" s="28"/>
      <c r="D85" s="29">
        <f t="shared" si="0"/>
        <v>0</v>
      </c>
      <c r="E85" s="28"/>
      <c r="F85" s="28"/>
      <c r="G85" s="29">
        <f t="shared" si="1"/>
        <v>0</v>
      </c>
      <c r="H85" s="30">
        <v>9</v>
      </c>
      <c r="I85" s="19">
        <f t="shared" si="2"/>
        <v>0</v>
      </c>
    </row>
    <row r="86" spans="1:9" x14ac:dyDescent="0.3">
      <c r="A86" s="28" t="s">
        <v>17</v>
      </c>
      <c r="B86" s="28">
        <v>40</v>
      </c>
      <c r="C86" s="28"/>
      <c r="D86" s="29">
        <f t="shared" si="0"/>
        <v>40</v>
      </c>
      <c r="E86" s="28"/>
      <c r="F86" s="28">
        <v>40</v>
      </c>
      <c r="G86" s="29">
        <f t="shared" si="1"/>
        <v>0</v>
      </c>
      <c r="H86" s="30">
        <v>50</v>
      </c>
      <c r="I86" s="19">
        <f t="shared" si="2"/>
        <v>0</v>
      </c>
    </row>
    <row r="87" spans="1:9" x14ac:dyDescent="0.3">
      <c r="A87" s="28" t="s">
        <v>18</v>
      </c>
      <c r="B87" s="28"/>
      <c r="C87" s="28"/>
      <c r="D87" s="29">
        <f t="shared" si="0"/>
        <v>0</v>
      </c>
      <c r="E87" s="28"/>
      <c r="F87" s="28"/>
      <c r="G87" s="29">
        <f t="shared" si="1"/>
        <v>0</v>
      </c>
      <c r="H87" s="30"/>
      <c r="I87" s="19">
        <f t="shared" si="2"/>
        <v>0</v>
      </c>
    </row>
    <row r="88" spans="1:9" x14ac:dyDescent="0.3">
      <c r="A88" s="28" t="s">
        <v>19</v>
      </c>
      <c r="B88" s="28">
        <v>2500</v>
      </c>
      <c r="C88" s="28"/>
      <c r="D88" s="29">
        <f t="shared" si="0"/>
        <v>2500</v>
      </c>
      <c r="E88" s="28"/>
      <c r="F88" s="28">
        <v>2000</v>
      </c>
      <c r="G88" s="29">
        <f t="shared" si="1"/>
        <v>500</v>
      </c>
      <c r="H88" s="30">
        <v>7.5</v>
      </c>
      <c r="I88" s="19">
        <f t="shared" si="2"/>
        <v>3750</v>
      </c>
    </row>
    <row r="89" spans="1:9" x14ac:dyDescent="0.3">
      <c r="A89" s="28" t="s">
        <v>267</v>
      </c>
      <c r="B89" s="28"/>
      <c r="C89" s="28"/>
      <c r="D89" s="29">
        <f t="shared" si="0"/>
        <v>0</v>
      </c>
      <c r="E89" s="28"/>
      <c r="F89" s="28"/>
      <c r="G89" s="29">
        <f t="shared" si="1"/>
        <v>0</v>
      </c>
      <c r="H89" s="30">
        <v>10</v>
      </c>
      <c r="I89" s="19">
        <f t="shared" si="2"/>
        <v>0</v>
      </c>
    </row>
    <row r="90" spans="1:9" x14ac:dyDescent="0.3">
      <c r="A90" s="28" t="s">
        <v>86</v>
      </c>
      <c r="B90" s="28">
        <v>4</v>
      </c>
      <c r="C90" s="28">
        <v>20</v>
      </c>
      <c r="D90" s="29">
        <f t="shared" si="0"/>
        <v>24</v>
      </c>
      <c r="E90" s="28"/>
      <c r="F90" s="28">
        <v>22</v>
      </c>
      <c r="G90" s="29">
        <f t="shared" si="1"/>
        <v>2</v>
      </c>
      <c r="H90" s="31">
        <v>250</v>
      </c>
      <c r="I90" s="19">
        <f t="shared" si="2"/>
        <v>500</v>
      </c>
    </row>
    <row r="91" spans="1:9" x14ac:dyDescent="0.3">
      <c r="A91" s="28" t="s">
        <v>87</v>
      </c>
      <c r="B91" s="28">
        <v>50</v>
      </c>
      <c r="C91" s="28"/>
      <c r="D91" s="29">
        <f t="shared" si="0"/>
        <v>50</v>
      </c>
      <c r="E91" s="28"/>
      <c r="F91" s="28">
        <v>50</v>
      </c>
      <c r="G91" s="29">
        <f t="shared" si="1"/>
        <v>0</v>
      </c>
      <c r="H91" s="31">
        <v>80</v>
      </c>
      <c r="I91" s="19">
        <f t="shared" si="2"/>
        <v>0</v>
      </c>
    </row>
    <row r="92" spans="1:9" x14ac:dyDescent="0.3">
      <c r="A92" s="28" t="s">
        <v>85</v>
      </c>
      <c r="B92" s="28"/>
      <c r="C92" s="28"/>
      <c r="D92" s="29">
        <f t="shared" si="0"/>
        <v>0</v>
      </c>
      <c r="E92" s="28"/>
      <c r="F92" s="28"/>
      <c r="G92" s="29">
        <f t="shared" si="1"/>
        <v>0</v>
      </c>
      <c r="H92" s="32">
        <v>400</v>
      </c>
      <c r="I92" s="19">
        <f t="shared" si="2"/>
        <v>0</v>
      </c>
    </row>
    <row r="93" spans="1:9" x14ac:dyDescent="0.3">
      <c r="A93" s="28" t="s">
        <v>88</v>
      </c>
      <c r="B93" s="28">
        <v>4</v>
      </c>
      <c r="C93" s="28"/>
      <c r="D93" s="29">
        <f t="shared" si="0"/>
        <v>4</v>
      </c>
      <c r="E93" s="28"/>
      <c r="F93" s="28">
        <v>4</v>
      </c>
      <c r="G93" s="29">
        <f t="shared" si="1"/>
        <v>0</v>
      </c>
      <c r="H93" s="32">
        <v>1000</v>
      </c>
      <c r="I93" s="19">
        <f t="shared" si="2"/>
        <v>0</v>
      </c>
    </row>
    <row r="94" spans="1:9" x14ac:dyDescent="0.3">
      <c r="A94" s="28" t="s">
        <v>89</v>
      </c>
      <c r="B94" s="28"/>
      <c r="C94" s="28"/>
      <c r="D94" s="29">
        <f t="shared" si="0"/>
        <v>0</v>
      </c>
      <c r="E94" s="28"/>
      <c r="F94" s="28"/>
      <c r="G94" s="29">
        <f t="shared" si="1"/>
        <v>0</v>
      </c>
      <c r="H94" s="32">
        <v>300</v>
      </c>
      <c r="I94" s="19">
        <f t="shared" si="2"/>
        <v>0</v>
      </c>
    </row>
    <row r="95" spans="1:9" x14ac:dyDescent="0.3">
      <c r="A95" s="28" t="s">
        <v>90</v>
      </c>
      <c r="B95" s="28">
        <v>8</v>
      </c>
      <c r="C95" s="28"/>
      <c r="D95" s="29">
        <f t="shared" si="0"/>
        <v>8</v>
      </c>
      <c r="E95" s="28"/>
      <c r="F95" s="28">
        <v>8</v>
      </c>
      <c r="G95" s="29">
        <f t="shared" si="1"/>
        <v>0</v>
      </c>
      <c r="H95" s="30">
        <v>350</v>
      </c>
      <c r="I95" s="19">
        <f t="shared" si="2"/>
        <v>0</v>
      </c>
    </row>
    <row r="96" spans="1:9" x14ac:dyDescent="0.3">
      <c r="A96" s="28" t="s">
        <v>99</v>
      </c>
      <c r="B96" s="28">
        <v>5</v>
      </c>
      <c r="C96" s="28"/>
      <c r="D96" s="29">
        <f t="shared" si="0"/>
        <v>5</v>
      </c>
      <c r="E96" s="28"/>
      <c r="F96" s="28">
        <v>5</v>
      </c>
      <c r="G96" s="29">
        <f t="shared" si="1"/>
        <v>0</v>
      </c>
      <c r="H96" s="32">
        <v>70</v>
      </c>
      <c r="I96" s="19">
        <f t="shared" si="2"/>
        <v>0</v>
      </c>
    </row>
    <row r="97" spans="1:9" x14ac:dyDescent="0.3">
      <c r="A97" s="28" t="s">
        <v>117</v>
      </c>
      <c r="B97" s="28">
        <v>800</v>
      </c>
      <c r="C97" s="28"/>
      <c r="D97" s="29">
        <f t="shared" ref="D97:D173" si="3">B97+C97</f>
        <v>800</v>
      </c>
      <c r="E97" s="28"/>
      <c r="F97" s="28">
        <v>100</v>
      </c>
      <c r="G97" s="29">
        <f t="shared" si="1"/>
        <v>700</v>
      </c>
      <c r="H97" s="30">
        <v>2</v>
      </c>
      <c r="I97" s="19">
        <f t="shared" si="2"/>
        <v>1400</v>
      </c>
    </row>
    <row r="98" spans="1:9" x14ac:dyDescent="0.3">
      <c r="A98" s="28" t="s">
        <v>150</v>
      </c>
      <c r="B98" s="28">
        <v>7</v>
      </c>
      <c r="C98" s="28">
        <v>20</v>
      </c>
      <c r="D98" s="29">
        <f t="shared" si="3"/>
        <v>27</v>
      </c>
      <c r="E98" s="28"/>
      <c r="F98" s="28">
        <v>17</v>
      </c>
      <c r="G98" s="29">
        <f t="shared" si="1"/>
        <v>10</v>
      </c>
      <c r="H98" s="30">
        <v>700</v>
      </c>
      <c r="I98" s="19">
        <f t="shared" si="2"/>
        <v>7000</v>
      </c>
    </row>
    <row r="99" spans="1:9" x14ac:dyDescent="0.3">
      <c r="A99" s="28" t="s">
        <v>217</v>
      </c>
      <c r="B99" s="28"/>
      <c r="C99" s="28"/>
      <c r="D99" s="29">
        <f t="shared" si="3"/>
        <v>0</v>
      </c>
      <c r="E99" s="28"/>
      <c r="F99" s="28"/>
      <c r="G99" s="29">
        <f t="shared" si="1"/>
        <v>0</v>
      </c>
      <c r="H99" s="30">
        <v>380</v>
      </c>
      <c r="I99" s="19">
        <f t="shared" si="2"/>
        <v>0</v>
      </c>
    </row>
    <row r="100" spans="1:9" x14ac:dyDescent="0.3">
      <c r="A100" s="28" t="s">
        <v>355</v>
      </c>
      <c r="B100" s="28"/>
      <c r="C100" s="28"/>
      <c r="D100" s="29">
        <f t="shared" si="3"/>
        <v>0</v>
      </c>
      <c r="E100" s="28"/>
      <c r="F100" s="28"/>
      <c r="G100" s="29">
        <f t="shared" si="1"/>
        <v>0</v>
      </c>
      <c r="H100" s="30">
        <v>1800</v>
      </c>
      <c r="I100" s="19">
        <f t="shared" si="2"/>
        <v>0</v>
      </c>
    </row>
    <row r="101" spans="1:9" x14ac:dyDescent="0.3">
      <c r="A101" s="28" t="s">
        <v>247</v>
      </c>
      <c r="B101" s="28">
        <v>1</v>
      </c>
      <c r="C101" s="28"/>
      <c r="D101" s="29">
        <f t="shared" si="3"/>
        <v>1</v>
      </c>
      <c r="E101" s="28"/>
      <c r="F101" s="28">
        <v>1</v>
      </c>
      <c r="G101" s="29">
        <f t="shared" si="1"/>
        <v>0</v>
      </c>
      <c r="H101" s="30">
        <v>550</v>
      </c>
      <c r="I101" s="19">
        <f t="shared" si="2"/>
        <v>0</v>
      </c>
    </row>
    <row r="102" spans="1:9" x14ac:dyDescent="0.3">
      <c r="A102" s="28" t="s">
        <v>257</v>
      </c>
      <c r="B102" s="28">
        <v>2</v>
      </c>
      <c r="C102" s="28"/>
      <c r="D102" s="29">
        <f t="shared" si="3"/>
        <v>2</v>
      </c>
      <c r="E102" s="28"/>
      <c r="F102" s="28"/>
      <c r="G102" s="29">
        <f t="shared" si="1"/>
        <v>2</v>
      </c>
      <c r="H102" s="30">
        <v>500</v>
      </c>
      <c r="I102" s="19">
        <f t="shared" si="2"/>
        <v>1000</v>
      </c>
    </row>
    <row r="103" spans="1:9" x14ac:dyDescent="0.3">
      <c r="A103" s="28" t="s">
        <v>265</v>
      </c>
      <c r="B103" s="28"/>
      <c r="C103" s="28">
        <v>40</v>
      </c>
      <c r="D103" s="29">
        <f t="shared" si="3"/>
        <v>40</v>
      </c>
      <c r="E103" s="28"/>
      <c r="F103" s="28">
        <v>32</v>
      </c>
      <c r="G103" s="29">
        <f t="shared" si="1"/>
        <v>8</v>
      </c>
      <c r="H103" s="30">
        <v>750</v>
      </c>
      <c r="I103" s="19">
        <f t="shared" si="2"/>
        <v>6000</v>
      </c>
    </row>
    <row r="104" spans="1:9" x14ac:dyDescent="0.3">
      <c r="A104" s="28" t="s">
        <v>292</v>
      </c>
      <c r="B104" s="28">
        <v>3</v>
      </c>
      <c r="C104" s="28">
        <v>30</v>
      </c>
      <c r="D104" s="29">
        <f t="shared" si="3"/>
        <v>33</v>
      </c>
      <c r="E104" s="28"/>
      <c r="F104" s="28">
        <v>20</v>
      </c>
      <c r="G104" s="29">
        <f t="shared" si="1"/>
        <v>13</v>
      </c>
      <c r="H104" s="30">
        <v>160</v>
      </c>
      <c r="I104" s="19">
        <f t="shared" si="2"/>
        <v>2080</v>
      </c>
    </row>
    <row r="105" spans="1:9" x14ac:dyDescent="0.3">
      <c r="A105" s="28" t="s">
        <v>301</v>
      </c>
      <c r="B105" s="28"/>
      <c r="C105" s="28"/>
      <c r="D105" s="29">
        <f t="shared" si="3"/>
        <v>0</v>
      </c>
      <c r="E105" s="28"/>
      <c r="F105" s="28"/>
      <c r="G105" s="29">
        <f t="shared" si="1"/>
        <v>0</v>
      </c>
      <c r="H105" s="30">
        <v>335</v>
      </c>
      <c r="I105" s="19">
        <f t="shared" si="2"/>
        <v>0</v>
      </c>
    </row>
    <row r="106" spans="1:9" x14ac:dyDescent="0.3">
      <c r="A106" s="28" t="s">
        <v>316</v>
      </c>
      <c r="B106" s="28"/>
      <c r="C106" s="28"/>
      <c r="D106" s="29">
        <f t="shared" si="3"/>
        <v>0</v>
      </c>
      <c r="E106" s="28"/>
      <c r="F106" s="28"/>
      <c r="G106" s="29">
        <f t="shared" si="1"/>
        <v>0</v>
      </c>
      <c r="H106" s="30">
        <v>150</v>
      </c>
      <c r="I106" s="19">
        <f t="shared" si="2"/>
        <v>0</v>
      </c>
    </row>
    <row r="107" spans="1:9" x14ac:dyDescent="0.3">
      <c r="A107" s="28" t="s">
        <v>336</v>
      </c>
      <c r="B107" s="28">
        <v>20</v>
      </c>
      <c r="C107" s="28"/>
      <c r="D107" s="29">
        <f t="shared" si="3"/>
        <v>20</v>
      </c>
      <c r="E107" s="28"/>
      <c r="F107" s="28">
        <v>20</v>
      </c>
      <c r="G107" s="29">
        <f t="shared" si="1"/>
        <v>0</v>
      </c>
      <c r="H107" s="30">
        <v>270</v>
      </c>
      <c r="I107" s="19">
        <f t="shared" si="2"/>
        <v>0</v>
      </c>
    </row>
    <row r="108" spans="1:9" x14ac:dyDescent="0.3">
      <c r="A108" s="28" t="s">
        <v>323</v>
      </c>
      <c r="B108" s="28"/>
      <c r="C108" s="28"/>
      <c r="D108" s="29">
        <f t="shared" si="3"/>
        <v>0</v>
      </c>
      <c r="E108" s="28"/>
      <c r="F108" s="28"/>
      <c r="G108" s="29">
        <f t="shared" si="1"/>
        <v>0</v>
      </c>
      <c r="H108" s="30">
        <v>550</v>
      </c>
      <c r="I108" s="19">
        <f t="shared" si="2"/>
        <v>0</v>
      </c>
    </row>
    <row r="109" spans="1:9" x14ac:dyDescent="0.3">
      <c r="A109" s="28" t="s">
        <v>348</v>
      </c>
      <c r="B109" s="28"/>
      <c r="C109" s="28"/>
      <c r="D109" s="29">
        <f t="shared" si="3"/>
        <v>0</v>
      </c>
      <c r="E109" s="28"/>
      <c r="F109" s="28"/>
      <c r="G109" s="29">
        <f t="shared" si="1"/>
        <v>0</v>
      </c>
      <c r="H109" s="30">
        <v>1700</v>
      </c>
      <c r="I109" s="19">
        <f t="shared" si="2"/>
        <v>0</v>
      </c>
    </row>
    <row r="110" spans="1:9" x14ac:dyDescent="0.3">
      <c r="A110" s="28" t="s">
        <v>356</v>
      </c>
      <c r="B110" s="28"/>
      <c r="C110" s="28"/>
      <c r="D110" s="29">
        <f t="shared" si="3"/>
        <v>0</v>
      </c>
      <c r="E110" s="28"/>
      <c r="F110" s="28"/>
      <c r="G110" s="29">
        <f t="shared" si="1"/>
        <v>0</v>
      </c>
      <c r="H110" s="30">
        <v>550</v>
      </c>
      <c r="I110" s="19">
        <f t="shared" si="2"/>
        <v>0</v>
      </c>
    </row>
    <row r="111" spans="1:9" x14ac:dyDescent="0.3">
      <c r="A111" s="28"/>
      <c r="B111" s="28"/>
      <c r="C111" s="28"/>
      <c r="D111" s="29"/>
      <c r="E111" s="28"/>
      <c r="F111" s="28"/>
      <c r="G111" s="29"/>
      <c r="H111" s="30"/>
      <c r="I111" s="19"/>
    </row>
    <row r="112" spans="1:9" x14ac:dyDescent="0.3">
      <c r="A112" s="24" t="s">
        <v>20</v>
      </c>
      <c r="B112" s="28"/>
      <c r="C112" s="28"/>
      <c r="D112" s="29">
        <f t="shared" si="3"/>
        <v>0</v>
      </c>
      <c r="E112" s="28"/>
      <c r="F112" s="28"/>
      <c r="G112" s="29">
        <f t="shared" si="1"/>
        <v>0</v>
      </c>
      <c r="H112" s="30"/>
      <c r="I112" s="19">
        <f t="shared" si="2"/>
        <v>0</v>
      </c>
    </row>
    <row r="113" spans="1:9" x14ac:dyDescent="0.3">
      <c r="A113" s="28" t="s">
        <v>21</v>
      </c>
      <c r="B113" s="28"/>
      <c r="C113" s="28"/>
      <c r="D113" s="29">
        <f t="shared" si="3"/>
        <v>0</v>
      </c>
      <c r="E113" s="28"/>
      <c r="F113" s="28"/>
      <c r="G113" s="29">
        <f t="shared" si="1"/>
        <v>0</v>
      </c>
      <c r="H113" s="30">
        <v>10</v>
      </c>
      <c r="I113" s="19">
        <f t="shared" si="2"/>
        <v>0</v>
      </c>
    </row>
    <row r="114" spans="1:9" x14ac:dyDescent="0.3">
      <c r="A114" s="28" t="s">
        <v>285</v>
      </c>
      <c r="B114" s="28"/>
      <c r="C114" s="28">
        <v>2000</v>
      </c>
      <c r="D114" s="29">
        <f t="shared" si="3"/>
        <v>2000</v>
      </c>
      <c r="E114" s="28"/>
      <c r="F114" s="28">
        <v>1500</v>
      </c>
      <c r="G114" s="29">
        <f t="shared" si="1"/>
        <v>500</v>
      </c>
      <c r="H114" s="30">
        <v>10</v>
      </c>
      <c r="I114" s="19">
        <f t="shared" si="2"/>
        <v>5000</v>
      </c>
    </row>
    <row r="115" spans="1:9" x14ac:dyDescent="0.3">
      <c r="A115" s="28" t="s">
        <v>95</v>
      </c>
      <c r="B115" s="28">
        <v>5</v>
      </c>
      <c r="C115" s="28">
        <v>10</v>
      </c>
      <c r="D115" s="29">
        <f t="shared" si="3"/>
        <v>15</v>
      </c>
      <c r="E115" s="28"/>
      <c r="F115" s="28">
        <v>9</v>
      </c>
      <c r="G115" s="29">
        <f t="shared" si="1"/>
        <v>6</v>
      </c>
      <c r="H115" s="31">
        <v>360</v>
      </c>
      <c r="I115" s="19">
        <f t="shared" si="2"/>
        <v>2160</v>
      </c>
    </row>
    <row r="116" spans="1:9" x14ac:dyDescent="0.3">
      <c r="A116" s="28" t="s">
        <v>113</v>
      </c>
      <c r="B116" s="28">
        <v>1</v>
      </c>
      <c r="C116" s="28"/>
      <c r="D116" s="29">
        <f t="shared" si="3"/>
        <v>1</v>
      </c>
      <c r="E116" s="28"/>
      <c r="F116" s="28">
        <v>1</v>
      </c>
      <c r="G116" s="29">
        <f t="shared" si="1"/>
        <v>0</v>
      </c>
      <c r="H116" s="30">
        <v>600</v>
      </c>
      <c r="I116" s="19">
        <f t="shared" si="2"/>
        <v>0</v>
      </c>
    </row>
    <row r="117" spans="1:9" x14ac:dyDescent="0.3">
      <c r="A117" s="28" t="s">
        <v>239</v>
      </c>
      <c r="B117" s="28"/>
      <c r="C117" s="28"/>
      <c r="D117" s="29">
        <f t="shared" si="3"/>
        <v>0</v>
      </c>
      <c r="E117" s="28"/>
      <c r="F117" s="28"/>
      <c r="G117" s="29">
        <f t="shared" si="1"/>
        <v>0</v>
      </c>
      <c r="H117" s="30">
        <v>500</v>
      </c>
      <c r="I117" s="19">
        <f t="shared" si="2"/>
        <v>0</v>
      </c>
    </row>
    <row r="118" spans="1:9" x14ac:dyDescent="0.3">
      <c r="A118" s="28" t="s">
        <v>334</v>
      </c>
      <c r="B118" s="28">
        <v>8</v>
      </c>
      <c r="C118" s="28">
        <v>5</v>
      </c>
      <c r="D118" s="29">
        <f t="shared" si="3"/>
        <v>13</v>
      </c>
      <c r="E118" s="28"/>
      <c r="F118" s="28">
        <v>9</v>
      </c>
      <c r="G118" s="29">
        <f t="shared" si="1"/>
        <v>4</v>
      </c>
      <c r="H118" s="30">
        <v>650</v>
      </c>
      <c r="I118" s="19">
        <f t="shared" si="2"/>
        <v>2600</v>
      </c>
    </row>
    <row r="119" spans="1:9" x14ac:dyDescent="0.3">
      <c r="A119" s="28" t="s">
        <v>342</v>
      </c>
      <c r="B119" s="28"/>
      <c r="C119" s="28"/>
      <c r="D119" s="29">
        <f t="shared" si="3"/>
        <v>0</v>
      </c>
      <c r="E119" s="28"/>
      <c r="F119" s="28"/>
      <c r="G119" s="29">
        <f t="shared" si="1"/>
        <v>0</v>
      </c>
      <c r="H119" s="30">
        <v>1600</v>
      </c>
      <c r="I119" s="19">
        <f t="shared" si="2"/>
        <v>0</v>
      </c>
    </row>
    <row r="120" spans="1:9" x14ac:dyDescent="0.3">
      <c r="A120" s="28" t="s">
        <v>365</v>
      </c>
      <c r="B120" s="28"/>
      <c r="C120" s="28"/>
      <c r="D120" s="29">
        <f t="shared" si="3"/>
        <v>0</v>
      </c>
      <c r="E120" s="28"/>
      <c r="F120" s="28"/>
      <c r="G120" s="29">
        <f t="shared" si="1"/>
        <v>0</v>
      </c>
      <c r="H120" s="30">
        <v>1200</v>
      </c>
      <c r="I120" s="19">
        <f t="shared" si="2"/>
        <v>0</v>
      </c>
    </row>
    <row r="121" spans="1:9" x14ac:dyDescent="0.3">
      <c r="A121" s="28"/>
      <c r="B121" s="28"/>
      <c r="C121" s="28"/>
      <c r="D121" s="29">
        <f t="shared" si="3"/>
        <v>0</v>
      </c>
      <c r="E121" s="28"/>
      <c r="F121" s="28"/>
      <c r="G121" s="29">
        <f t="shared" si="1"/>
        <v>0</v>
      </c>
      <c r="H121" s="30"/>
      <c r="I121" s="19">
        <f t="shared" si="2"/>
        <v>0</v>
      </c>
    </row>
    <row r="122" spans="1:9" x14ac:dyDescent="0.3">
      <c r="A122" s="24" t="s">
        <v>22</v>
      </c>
      <c r="B122" s="28"/>
      <c r="C122" s="28"/>
      <c r="D122" s="29">
        <f t="shared" si="3"/>
        <v>0</v>
      </c>
      <c r="E122" s="28"/>
      <c r="F122" s="28"/>
      <c r="G122" s="29">
        <f>D122-E122-F122</f>
        <v>0</v>
      </c>
      <c r="H122" s="30"/>
      <c r="I122" s="19">
        <f t="shared" si="2"/>
        <v>0</v>
      </c>
    </row>
    <row r="123" spans="1:9" x14ac:dyDescent="0.3">
      <c r="A123" s="28" t="s">
        <v>23</v>
      </c>
      <c r="B123" s="28">
        <v>50</v>
      </c>
      <c r="C123" s="28"/>
      <c r="D123" s="29">
        <f t="shared" si="3"/>
        <v>50</v>
      </c>
      <c r="E123" s="28"/>
      <c r="F123" s="28"/>
      <c r="G123" s="29">
        <f>D123-E123-F123</f>
        <v>50</v>
      </c>
      <c r="H123" s="30">
        <v>13</v>
      </c>
      <c r="I123" s="19">
        <f t="shared" si="2"/>
        <v>650</v>
      </c>
    </row>
    <row r="124" spans="1:9" x14ac:dyDescent="0.3">
      <c r="A124" s="28" t="s">
        <v>268</v>
      </c>
      <c r="B124" s="28">
        <v>100</v>
      </c>
      <c r="C124" s="28">
        <v>100</v>
      </c>
      <c r="D124" s="29">
        <f t="shared" si="3"/>
        <v>200</v>
      </c>
      <c r="E124" s="28"/>
      <c r="F124" s="28">
        <v>100</v>
      </c>
      <c r="G124" s="29">
        <f t="shared" si="1"/>
        <v>100</v>
      </c>
      <c r="H124" s="30">
        <v>410</v>
      </c>
      <c r="I124" s="19">
        <f t="shared" si="2"/>
        <v>41000</v>
      </c>
    </row>
    <row r="125" spans="1:9" x14ac:dyDescent="0.3">
      <c r="A125" s="28" t="s">
        <v>24</v>
      </c>
      <c r="B125" s="28">
        <v>1000</v>
      </c>
      <c r="C125" s="28"/>
      <c r="D125" s="29">
        <f t="shared" si="3"/>
        <v>1000</v>
      </c>
      <c r="E125" s="28"/>
      <c r="F125" s="28">
        <v>1000</v>
      </c>
      <c r="G125" s="29">
        <f t="shared" si="1"/>
        <v>0</v>
      </c>
      <c r="H125" s="30">
        <v>8</v>
      </c>
      <c r="I125" s="19">
        <f t="shared" si="2"/>
        <v>0</v>
      </c>
    </row>
    <row r="126" spans="1:9" x14ac:dyDescent="0.3">
      <c r="A126" s="28" t="s">
        <v>258</v>
      </c>
      <c r="B126" s="28">
        <v>2500</v>
      </c>
      <c r="C126" s="28"/>
      <c r="D126" s="29">
        <f t="shared" si="3"/>
        <v>2500</v>
      </c>
      <c r="E126" s="28"/>
      <c r="F126" s="28">
        <v>2000</v>
      </c>
      <c r="G126" s="29">
        <f t="shared" si="1"/>
        <v>500</v>
      </c>
      <c r="H126" s="30">
        <v>8</v>
      </c>
      <c r="I126" s="19">
        <f t="shared" si="2"/>
        <v>4000</v>
      </c>
    </row>
    <row r="127" spans="1:9" x14ac:dyDescent="0.3">
      <c r="A127" s="28" t="s">
        <v>25</v>
      </c>
      <c r="B127" s="28"/>
      <c r="C127" s="28"/>
      <c r="D127" s="29">
        <f t="shared" si="3"/>
        <v>0</v>
      </c>
      <c r="E127" s="28"/>
      <c r="F127" s="28"/>
      <c r="G127" s="29">
        <f t="shared" si="1"/>
        <v>0</v>
      </c>
      <c r="H127" s="30">
        <v>600</v>
      </c>
      <c r="I127" s="19">
        <f t="shared" si="2"/>
        <v>0</v>
      </c>
    </row>
    <row r="128" spans="1:9" x14ac:dyDescent="0.3">
      <c r="A128" s="28" t="s">
        <v>26</v>
      </c>
      <c r="B128" s="28">
        <v>1</v>
      </c>
      <c r="C128" s="28"/>
      <c r="D128" s="29">
        <f t="shared" si="3"/>
        <v>1</v>
      </c>
      <c r="E128" s="28"/>
      <c r="F128" s="28">
        <v>1</v>
      </c>
      <c r="G128" s="29">
        <f t="shared" si="1"/>
        <v>0</v>
      </c>
      <c r="H128" s="30">
        <v>2000</v>
      </c>
      <c r="I128" s="19">
        <f t="shared" si="2"/>
        <v>0</v>
      </c>
    </row>
    <row r="129" spans="1:9" x14ac:dyDescent="0.3">
      <c r="A129" s="28" t="s">
        <v>27</v>
      </c>
      <c r="B129" s="28"/>
      <c r="C129" s="28"/>
      <c r="D129" s="29">
        <f t="shared" si="3"/>
        <v>0</v>
      </c>
      <c r="E129" s="28"/>
      <c r="F129" s="28"/>
      <c r="G129" s="29">
        <f t="shared" si="1"/>
        <v>0</v>
      </c>
      <c r="H129" s="30"/>
      <c r="I129" s="19">
        <f t="shared" si="2"/>
        <v>0</v>
      </c>
    </row>
    <row r="130" spans="1:9" x14ac:dyDescent="0.3">
      <c r="A130" s="28" t="s">
        <v>28</v>
      </c>
      <c r="B130" s="28">
        <v>1</v>
      </c>
      <c r="C130" s="28">
        <v>10</v>
      </c>
      <c r="D130" s="29">
        <f t="shared" si="3"/>
        <v>11</v>
      </c>
      <c r="E130" s="28"/>
      <c r="F130" s="28">
        <v>10</v>
      </c>
      <c r="G130" s="29">
        <f t="shared" si="1"/>
        <v>1</v>
      </c>
      <c r="H130" s="30">
        <v>50</v>
      </c>
      <c r="I130" s="19">
        <f t="shared" si="2"/>
        <v>50</v>
      </c>
    </row>
    <row r="131" spans="1:9" x14ac:dyDescent="0.3">
      <c r="A131" s="28" t="s">
        <v>29</v>
      </c>
      <c r="B131" s="28">
        <v>13</v>
      </c>
      <c r="C131" s="28">
        <v>30</v>
      </c>
      <c r="D131" s="29">
        <f t="shared" si="3"/>
        <v>43</v>
      </c>
      <c r="E131" s="28"/>
      <c r="F131" s="28">
        <v>30</v>
      </c>
      <c r="G131" s="29">
        <f t="shared" si="1"/>
        <v>13</v>
      </c>
      <c r="H131" s="30">
        <v>2200</v>
      </c>
      <c r="I131" s="19">
        <f t="shared" si="2"/>
        <v>28600</v>
      </c>
    </row>
    <row r="132" spans="1:9" x14ac:dyDescent="0.3">
      <c r="A132" s="28" t="s">
        <v>30</v>
      </c>
      <c r="B132" s="28">
        <v>25</v>
      </c>
      <c r="C132" s="28">
        <v>60</v>
      </c>
      <c r="D132" s="29">
        <f t="shared" si="3"/>
        <v>85</v>
      </c>
      <c r="E132" s="28"/>
      <c r="F132" s="28">
        <v>60</v>
      </c>
      <c r="G132" s="29">
        <f t="shared" ref="G132:G223" si="4">D132-E132-F132</f>
        <v>25</v>
      </c>
      <c r="H132" s="30">
        <v>600</v>
      </c>
      <c r="I132" s="19">
        <f t="shared" si="2"/>
        <v>15000</v>
      </c>
    </row>
    <row r="133" spans="1:9" x14ac:dyDescent="0.3">
      <c r="A133" s="28" t="s">
        <v>31</v>
      </c>
      <c r="B133" s="28">
        <v>5</v>
      </c>
      <c r="C133" s="28"/>
      <c r="D133" s="29">
        <f t="shared" si="3"/>
        <v>5</v>
      </c>
      <c r="E133" s="28"/>
      <c r="F133" s="28">
        <v>5</v>
      </c>
      <c r="G133" s="29">
        <f t="shared" si="4"/>
        <v>0</v>
      </c>
      <c r="H133" s="31">
        <v>750</v>
      </c>
      <c r="I133" s="19">
        <f t="shared" si="2"/>
        <v>0</v>
      </c>
    </row>
    <row r="134" spans="1:9" x14ac:dyDescent="0.3">
      <c r="A134" s="28" t="s">
        <v>82</v>
      </c>
      <c r="B134" s="28">
        <v>15</v>
      </c>
      <c r="C134" s="28"/>
      <c r="D134" s="29">
        <f t="shared" si="3"/>
        <v>15</v>
      </c>
      <c r="E134" s="28"/>
      <c r="F134" s="28">
        <v>9</v>
      </c>
      <c r="G134" s="29">
        <f t="shared" si="4"/>
        <v>6</v>
      </c>
      <c r="H134" s="30">
        <v>500</v>
      </c>
      <c r="I134" s="19">
        <f t="shared" ref="I134:I197" si="5">G134*H134</f>
        <v>3000</v>
      </c>
    </row>
    <row r="135" spans="1:9" x14ac:dyDescent="0.3">
      <c r="A135" s="28" t="s">
        <v>84</v>
      </c>
      <c r="B135" s="28">
        <v>1</v>
      </c>
      <c r="C135" s="28"/>
      <c r="D135" s="29">
        <f t="shared" si="3"/>
        <v>1</v>
      </c>
      <c r="E135" s="28"/>
      <c r="F135" s="28"/>
      <c r="G135" s="29">
        <f t="shared" si="4"/>
        <v>1</v>
      </c>
      <c r="H135" s="30">
        <v>700</v>
      </c>
      <c r="I135" s="19">
        <f t="shared" si="5"/>
        <v>700</v>
      </c>
    </row>
    <row r="136" spans="1:9" x14ac:dyDescent="0.3">
      <c r="A136" s="28" t="s">
        <v>91</v>
      </c>
      <c r="B136" s="28"/>
      <c r="C136" s="28"/>
      <c r="D136" s="29">
        <f t="shared" si="3"/>
        <v>0</v>
      </c>
      <c r="E136" s="28"/>
      <c r="F136" s="28"/>
      <c r="G136" s="29">
        <f t="shared" si="4"/>
        <v>0</v>
      </c>
      <c r="H136" s="31">
        <v>150</v>
      </c>
      <c r="I136" s="19">
        <f t="shared" si="5"/>
        <v>0</v>
      </c>
    </row>
    <row r="137" spans="1:9" x14ac:dyDescent="0.3">
      <c r="A137" s="28" t="s">
        <v>83</v>
      </c>
      <c r="B137" s="28">
        <v>95</v>
      </c>
      <c r="C137" s="28"/>
      <c r="D137" s="29">
        <f t="shared" si="3"/>
        <v>95</v>
      </c>
      <c r="E137" s="28"/>
      <c r="F137" s="28"/>
      <c r="G137" s="29">
        <f t="shared" si="4"/>
        <v>95</v>
      </c>
      <c r="H137" s="31">
        <v>650</v>
      </c>
      <c r="I137" s="19">
        <f t="shared" si="5"/>
        <v>61750</v>
      </c>
    </row>
    <row r="138" spans="1:9" x14ac:dyDescent="0.3">
      <c r="A138" s="28" t="s">
        <v>204</v>
      </c>
      <c r="B138" s="28">
        <v>5</v>
      </c>
      <c r="C138" s="28"/>
      <c r="D138" s="29">
        <f t="shared" si="3"/>
        <v>5</v>
      </c>
      <c r="E138" s="28"/>
      <c r="F138" s="28"/>
      <c r="G138" s="29">
        <f t="shared" si="4"/>
        <v>5</v>
      </c>
      <c r="H138" s="31">
        <v>300</v>
      </c>
      <c r="I138" s="19">
        <f t="shared" si="5"/>
        <v>1500</v>
      </c>
    </row>
    <row r="139" spans="1:9" x14ac:dyDescent="0.3">
      <c r="A139" s="28" t="s">
        <v>94</v>
      </c>
      <c r="B139" s="28"/>
      <c r="C139" s="28"/>
      <c r="D139" s="29">
        <f t="shared" si="3"/>
        <v>0</v>
      </c>
      <c r="E139" s="28"/>
      <c r="F139" s="28"/>
      <c r="G139" s="29">
        <f t="shared" si="4"/>
        <v>0</v>
      </c>
      <c r="H139" s="31">
        <v>400</v>
      </c>
      <c r="I139" s="19">
        <f t="shared" si="5"/>
        <v>0</v>
      </c>
    </row>
    <row r="140" spans="1:9" x14ac:dyDescent="0.3">
      <c r="A140" s="28" t="s">
        <v>49</v>
      </c>
      <c r="B140" s="28">
        <v>82</v>
      </c>
      <c r="C140" s="28"/>
      <c r="D140" s="29">
        <f t="shared" si="3"/>
        <v>82</v>
      </c>
      <c r="E140" s="28"/>
      <c r="F140" s="28">
        <v>80</v>
      </c>
      <c r="G140" s="29">
        <f t="shared" si="4"/>
        <v>2</v>
      </c>
      <c r="H140" s="30">
        <v>1900</v>
      </c>
      <c r="I140" s="19">
        <f t="shared" si="5"/>
        <v>3800</v>
      </c>
    </row>
    <row r="141" spans="1:9" x14ac:dyDescent="0.3">
      <c r="A141" s="28" t="s">
        <v>123</v>
      </c>
      <c r="B141" s="28"/>
      <c r="C141" s="28"/>
      <c r="D141" s="29">
        <f t="shared" si="3"/>
        <v>0</v>
      </c>
      <c r="E141" s="28"/>
      <c r="F141" s="28"/>
      <c r="G141" s="29">
        <f t="shared" si="4"/>
        <v>0</v>
      </c>
      <c r="H141" s="30">
        <v>1400</v>
      </c>
      <c r="I141" s="19">
        <f t="shared" si="5"/>
        <v>0</v>
      </c>
    </row>
    <row r="142" spans="1:9" x14ac:dyDescent="0.3">
      <c r="A142" s="28" t="s">
        <v>218</v>
      </c>
      <c r="B142" s="28"/>
      <c r="C142" s="28"/>
      <c r="D142" s="29">
        <f t="shared" si="3"/>
        <v>0</v>
      </c>
      <c r="E142" s="28"/>
      <c r="F142" s="28"/>
      <c r="G142" s="29">
        <f t="shared" si="4"/>
        <v>0</v>
      </c>
      <c r="H142" s="30"/>
      <c r="I142" s="19">
        <f t="shared" si="5"/>
        <v>0</v>
      </c>
    </row>
    <row r="143" spans="1:9" x14ac:dyDescent="0.3">
      <c r="A143" s="28" t="s">
        <v>219</v>
      </c>
      <c r="B143" s="28">
        <v>1</v>
      </c>
      <c r="C143" s="28"/>
      <c r="D143" s="29">
        <f t="shared" si="3"/>
        <v>1</v>
      </c>
      <c r="E143" s="28"/>
      <c r="F143" s="28"/>
      <c r="G143" s="29">
        <f t="shared" si="4"/>
        <v>1</v>
      </c>
      <c r="H143" s="30">
        <v>2000</v>
      </c>
      <c r="I143" s="19">
        <f t="shared" si="5"/>
        <v>2000</v>
      </c>
    </row>
    <row r="144" spans="1:9" x14ac:dyDescent="0.3">
      <c r="A144" s="28" t="s">
        <v>175</v>
      </c>
      <c r="B144" s="28"/>
      <c r="C144" s="28"/>
      <c r="D144" s="29">
        <f t="shared" si="3"/>
        <v>0</v>
      </c>
      <c r="E144" s="28"/>
      <c r="F144" s="28"/>
      <c r="G144" s="29">
        <f t="shared" si="4"/>
        <v>0</v>
      </c>
      <c r="H144" s="30"/>
      <c r="I144" s="19">
        <f t="shared" si="5"/>
        <v>0</v>
      </c>
    </row>
    <row r="145" spans="1:9" x14ac:dyDescent="0.3">
      <c r="A145" s="28" t="s">
        <v>176</v>
      </c>
      <c r="B145" s="28"/>
      <c r="C145" s="28"/>
      <c r="D145" s="29">
        <f t="shared" si="3"/>
        <v>0</v>
      </c>
      <c r="E145" s="28"/>
      <c r="F145" s="28"/>
      <c r="G145" s="29">
        <f t="shared" si="4"/>
        <v>0</v>
      </c>
      <c r="H145" s="30"/>
      <c r="I145" s="19">
        <f t="shared" si="5"/>
        <v>0</v>
      </c>
    </row>
    <row r="146" spans="1:9" x14ac:dyDescent="0.3">
      <c r="A146" s="28"/>
      <c r="B146" s="28"/>
      <c r="C146" s="28"/>
      <c r="D146" s="29">
        <f t="shared" si="3"/>
        <v>0</v>
      </c>
      <c r="E146" s="28"/>
      <c r="F146" s="28"/>
      <c r="G146" s="29">
        <f t="shared" si="4"/>
        <v>0</v>
      </c>
      <c r="H146" s="30">
        <v>350</v>
      </c>
      <c r="I146" s="19">
        <f t="shared" si="5"/>
        <v>0</v>
      </c>
    </row>
    <row r="147" spans="1:9" x14ac:dyDescent="0.3">
      <c r="A147" s="28" t="s">
        <v>182</v>
      </c>
      <c r="B147" s="28"/>
      <c r="C147" s="28"/>
      <c r="D147" s="29">
        <f t="shared" si="3"/>
        <v>0</v>
      </c>
      <c r="E147" s="28"/>
      <c r="F147" s="28"/>
      <c r="G147" s="29">
        <f t="shared" si="4"/>
        <v>0</v>
      </c>
      <c r="H147" s="30">
        <v>1000</v>
      </c>
      <c r="I147" s="19">
        <f t="shared" si="5"/>
        <v>0</v>
      </c>
    </row>
    <row r="148" spans="1:9" x14ac:dyDescent="0.3">
      <c r="A148" s="28" t="s">
        <v>183</v>
      </c>
      <c r="B148" s="28"/>
      <c r="C148" s="28"/>
      <c r="D148" s="29">
        <f t="shared" si="3"/>
        <v>0</v>
      </c>
      <c r="E148" s="28"/>
      <c r="F148" s="28"/>
      <c r="G148" s="29">
        <f t="shared" si="4"/>
        <v>0</v>
      </c>
      <c r="H148" s="30">
        <v>500</v>
      </c>
      <c r="I148" s="19">
        <f t="shared" si="5"/>
        <v>0</v>
      </c>
    </row>
    <row r="149" spans="1:9" x14ac:dyDescent="0.3">
      <c r="A149" s="28" t="s">
        <v>184</v>
      </c>
      <c r="B149" s="28">
        <v>8</v>
      </c>
      <c r="C149" s="28"/>
      <c r="D149" s="29">
        <f t="shared" si="3"/>
        <v>8</v>
      </c>
      <c r="E149" s="28"/>
      <c r="F149" s="28">
        <v>5</v>
      </c>
      <c r="G149" s="29">
        <f t="shared" si="4"/>
        <v>3</v>
      </c>
      <c r="H149" s="30">
        <v>400</v>
      </c>
      <c r="I149" s="19">
        <f t="shared" si="5"/>
        <v>1200</v>
      </c>
    </row>
    <row r="150" spans="1:9" x14ac:dyDescent="0.3">
      <c r="A150" s="28" t="s">
        <v>187</v>
      </c>
      <c r="B150" s="28"/>
      <c r="C150" s="28"/>
      <c r="D150" s="29">
        <f t="shared" si="3"/>
        <v>0</v>
      </c>
      <c r="E150" s="28"/>
      <c r="F150" s="28"/>
      <c r="G150" s="29">
        <f t="shared" si="4"/>
        <v>0</v>
      </c>
      <c r="H150" s="30"/>
      <c r="I150" s="19">
        <f t="shared" si="5"/>
        <v>0</v>
      </c>
    </row>
    <row r="151" spans="1:9" x14ac:dyDescent="0.3">
      <c r="A151" s="28" t="s">
        <v>366</v>
      </c>
      <c r="B151" s="28"/>
      <c r="C151" s="28"/>
      <c r="D151" s="29">
        <f t="shared" si="3"/>
        <v>0</v>
      </c>
      <c r="E151" s="28"/>
      <c r="F151" s="28"/>
      <c r="G151" s="29">
        <f t="shared" si="4"/>
        <v>0</v>
      </c>
      <c r="H151" s="30">
        <v>750</v>
      </c>
      <c r="I151" s="19">
        <f t="shared" si="5"/>
        <v>0</v>
      </c>
    </row>
    <row r="152" spans="1:9" x14ac:dyDescent="0.3">
      <c r="A152" s="28" t="s">
        <v>240</v>
      </c>
      <c r="B152" s="28"/>
      <c r="C152" s="28"/>
      <c r="D152" s="29">
        <f t="shared" si="3"/>
        <v>0</v>
      </c>
      <c r="E152" s="28"/>
      <c r="F152" s="28"/>
      <c r="G152" s="29">
        <f t="shared" si="4"/>
        <v>0</v>
      </c>
      <c r="H152" s="30">
        <v>360</v>
      </c>
      <c r="I152" s="19">
        <f t="shared" si="5"/>
        <v>0</v>
      </c>
    </row>
    <row r="153" spans="1:9" x14ac:dyDescent="0.3">
      <c r="A153" s="28" t="s">
        <v>198</v>
      </c>
      <c r="B153" s="28"/>
      <c r="C153" s="28"/>
      <c r="D153" s="29">
        <f t="shared" si="3"/>
        <v>0</v>
      </c>
      <c r="E153" s="28"/>
      <c r="F153" s="28"/>
      <c r="G153" s="29">
        <f t="shared" si="4"/>
        <v>0</v>
      </c>
      <c r="H153" s="30">
        <v>610</v>
      </c>
      <c r="I153" s="19">
        <f t="shared" si="5"/>
        <v>0</v>
      </c>
    </row>
    <row r="154" spans="1:9" x14ac:dyDescent="0.3">
      <c r="A154" s="28" t="s">
        <v>77</v>
      </c>
      <c r="B154" s="28">
        <v>500</v>
      </c>
      <c r="C154" s="28"/>
      <c r="D154" s="29">
        <f t="shared" si="3"/>
        <v>500</v>
      </c>
      <c r="E154" s="28"/>
      <c r="F154" s="28">
        <v>500</v>
      </c>
      <c r="G154" s="29">
        <f t="shared" si="4"/>
        <v>0</v>
      </c>
      <c r="H154" s="30">
        <v>5</v>
      </c>
      <c r="I154" s="19">
        <f t="shared" si="5"/>
        <v>0</v>
      </c>
    </row>
    <row r="155" spans="1:9" x14ac:dyDescent="0.3">
      <c r="A155" s="28" t="s">
        <v>361</v>
      </c>
      <c r="B155" s="28"/>
      <c r="C155" s="28"/>
      <c r="D155" s="29">
        <f t="shared" si="3"/>
        <v>0</v>
      </c>
      <c r="E155" s="28"/>
      <c r="F155" s="28"/>
      <c r="G155" s="29">
        <f t="shared" si="4"/>
        <v>0</v>
      </c>
      <c r="H155" s="30">
        <v>1500</v>
      </c>
      <c r="I155" s="19">
        <f t="shared" si="5"/>
        <v>0</v>
      </c>
    </row>
    <row r="156" spans="1:9" x14ac:dyDescent="0.3">
      <c r="A156" s="28" t="s">
        <v>259</v>
      </c>
      <c r="B156" s="28">
        <v>20</v>
      </c>
      <c r="C156" s="28"/>
      <c r="D156" s="29">
        <f t="shared" si="3"/>
        <v>20</v>
      </c>
      <c r="E156" s="28"/>
      <c r="F156" s="28"/>
      <c r="G156" s="29">
        <f t="shared" si="4"/>
        <v>20</v>
      </c>
      <c r="H156" s="30">
        <v>200</v>
      </c>
      <c r="I156" s="19">
        <f t="shared" si="5"/>
        <v>4000</v>
      </c>
    </row>
    <row r="157" spans="1:9" x14ac:dyDescent="0.3">
      <c r="A157" s="28" t="s">
        <v>286</v>
      </c>
      <c r="B157" s="28"/>
      <c r="C157" s="28"/>
      <c r="D157" s="29">
        <f t="shared" si="3"/>
        <v>0</v>
      </c>
      <c r="E157" s="28"/>
      <c r="F157" s="28"/>
      <c r="G157" s="29">
        <f t="shared" si="4"/>
        <v>0</v>
      </c>
      <c r="H157" s="30">
        <v>250</v>
      </c>
      <c r="I157" s="19">
        <f t="shared" si="5"/>
        <v>0</v>
      </c>
    </row>
    <row r="158" spans="1:9" x14ac:dyDescent="0.3">
      <c r="A158" s="28" t="s">
        <v>327</v>
      </c>
      <c r="B158" s="28"/>
      <c r="C158" s="28"/>
      <c r="D158" s="29">
        <f t="shared" si="3"/>
        <v>0</v>
      </c>
      <c r="E158" s="28"/>
      <c r="F158" s="28"/>
      <c r="G158" s="29">
        <f t="shared" si="4"/>
        <v>0</v>
      </c>
      <c r="H158" s="30">
        <v>1200</v>
      </c>
      <c r="I158" s="19">
        <f t="shared" si="5"/>
        <v>0</v>
      </c>
    </row>
    <row r="159" spans="1:9" x14ac:dyDescent="0.3">
      <c r="A159" s="28" t="s">
        <v>367</v>
      </c>
      <c r="B159" s="28">
        <v>10</v>
      </c>
      <c r="C159" s="28"/>
      <c r="D159" s="29">
        <f t="shared" si="3"/>
        <v>10</v>
      </c>
      <c r="E159" s="28"/>
      <c r="F159" s="28">
        <v>10</v>
      </c>
      <c r="G159" s="29">
        <f t="shared" si="4"/>
        <v>0</v>
      </c>
      <c r="H159" s="30">
        <v>230</v>
      </c>
      <c r="I159" s="19">
        <f t="shared" si="5"/>
        <v>0</v>
      </c>
    </row>
    <row r="160" spans="1:9" x14ac:dyDescent="0.3">
      <c r="A160" s="28" t="s">
        <v>399</v>
      </c>
      <c r="B160" s="28"/>
      <c r="C160" s="28"/>
      <c r="D160" s="29">
        <f t="shared" si="3"/>
        <v>0</v>
      </c>
      <c r="E160" s="28"/>
      <c r="F160" s="28"/>
      <c r="G160" s="29">
        <f t="shared" si="4"/>
        <v>0</v>
      </c>
      <c r="H160" s="30">
        <v>25</v>
      </c>
      <c r="I160" s="19">
        <f t="shared" si="5"/>
        <v>0</v>
      </c>
    </row>
    <row r="161" spans="1:9" x14ac:dyDescent="0.3">
      <c r="A161" s="28"/>
      <c r="B161" s="28"/>
      <c r="C161" s="28"/>
      <c r="D161" s="29"/>
      <c r="E161" s="28"/>
      <c r="F161" s="28"/>
      <c r="G161" s="29"/>
      <c r="H161" s="30"/>
      <c r="I161" s="19">
        <f t="shared" si="5"/>
        <v>0</v>
      </c>
    </row>
    <row r="162" spans="1:9" x14ac:dyDescent="0.3">
      <c r="A162" s="24" t="s">
        <v>32</v>
      </c>
      <c r="B162" s="28"/>
      <c r="C162" s="28"/>
      <c r="D162" s="29">
        <f t="shared" si="3"/>
        <v>0</v>
      </c>
      <c r="E162" s="28"/>
      <c r="F162" s="28"/>
      <c r="G162" s="29">
        <f t="shared" si="4"/>
        <v>0</v>
      </c>
      <c r="H162" s="30"/>
      <c r="I162" s="19">
        <f t="shared" si="5"/>
        <v>0</v>
      </c>
    </row>
    <row r="163" spans="1:9" x14ac:dyDescent="0.3">
      <c r="A163" s="28" t="s">
        <v>33</v>
      </c>
      <c r="B163" s="28"/>
      <c r="C163" s="28">
        <v>10</v>
      </c>
      <c r="D163" s="29">
        <f t="shared" si="3"/>
        <v>10</v>
      </c>
      <c r="E163" s="28"/>
      <c r="F163" s="28">
        <v>10</v>
      </c>
      <c r="G163" s="29">
        <f t="shared" si="4"/>
        <v>0</v>
      </c>
      <c r="H163" s="30">
        <v>500</v>
      </c>
      <c r="I163" s="19">
        <f t="shared" si="5"/>
        <v>0</v>
      </c>
    </row>
    <row r="164" spans="1:9" x14ac:dyDescent="0.3">
      <c r="A164" s="28" t="s">
        <v>34</v>
      </c>
      <c r="B164" s="28">
        <v>10</v>
      </c>
      <c r="C164" s="28"/>
      <c r="D164" s="29">
        <f t="shared" si="3"/>
        <v>10</v>
      </c>
      <c r="E164" s="28"/>
      <c r="F164" s="28">
        <v>5</v>
      </c>
      <c r="G164" s="29">
        <f t="shared" si="4"/>
        <v>5</v>
      </c>
      <c r="H164" s="30">
        <v>100</v>
      </c>
      <c r="I164" s="19">
        <f t="shared" si="5"/>
        <v>500</v>
      </c>
    </row>
    <row r="165" spans="1:9" x14ac:dyDescent="0.3">
      <c r="A165" s="28" t="s">
        <v>122</v>
      </c>
      <c r="B165" s="28">
        <v>10</v>
      </c>
      <c r="C165" s="28"/>
      <c r="D165" s="29">
        <f t="shared" si="3"/>
        <v>10</v>
      </c>
      <c r="E165" s="28"/>
      <c r="F165" s="28">
        <v>10</v>
      </c>
      <c r="G165" s="29">
        <f t="shared" si="4"/>
        <v>0</v>
      </c>
      <c r="H165" s="30">
        <v>200</v>
      </c>
      <c r="I165" s="19">
        <f t="shared" si="5"/>
        <v>0</v>
      </c>
    </row>
    <row r="166" spans="1:9" x14ac:dyDescent="0.3">
      <c r="A166" s="28" t="s">
        <v>143</v>
      </c>
      <c r="B166" s="28"/>
      <c r="C166" s="28"/>
      <c r="D166" s="29">
        <f t="shared" si="3"/>
        <v>0</v>
      </c>
      <c r="E166" s="28"/>
      <c r="F166" s="28"/>
      <c r="G166" s="29">
        <f t="shared" si="4"/>
        <v>0</v>
      </c>
      <c r="H166" s="30">
        <v>900</v>
      </c>
      <c r="I166" s="19">
        <f t="shared" si="5"/>
        <v>0</v>
      </c>
    </row>
    <row r="167" spans="1:9" x14ac:dyDescent="0.3">
      <c r="A167" s="28" t="s">
        <v>151</v>
      </c>
      <c r="B167" s="28"/>
      <c r="C167" s="28"/>
      <c r="D167" s="29">
        <f t="shared" si="3"/>
        <v>0</v>
      </c>
      <c r="E167" s="28"/>
      <c r="F167" s="28"/>
      <c r="G167" s="29">
        <f t="shared" si="4"/>
        <v>0</v>
      </c>
      <c r="H167" s="30">
        <v>45</v>
      </c>
      <c r="I167" s="19">
        <f t="shared" si="5"/>
        <v>0</v>
      </c>
    </row>
    <row r="168" spans="1:9" x14ac:dyDescent="0.3">
      <c r="A168" s="28" t="s">
        <v>186</v>
      </c>
      <c r="B168" s="28"/>
      <c r="C168" s="28"/>
      <c r="D168" s="29">
        <f t="shared" si="3"/>
        <v>0</v>
      </c>
      <c r="E168" s="28"/>
      <c r="F168" s="28"/>
      <c r="G168" s="29">
        <f t="shared" si="4"/>
        <v>0</v>
      </c>
      <c r="H168" s="30"/>
      <c r="I168" s="19">
        <f t="shared" si="5"/>
        <v>0</v>
      </c>
    </row>
    <row r="169" spans="1:9" x14ac:dyDescent="0.3">
      <c r="A169" s="28" t="s">
        <v>207</v>
      </c>
      <c r="B169" s="28"/>
      <c r="C169" s="28">
        <v>10</v>
      </c>
      <c r="D169" s="29">
        <f t="shared" si="3"/>
        <v>10</v>
      </c>
      <c r="E169" s="28"/>
      <c r="F169" s="28">
        <v>10</v>
      </c>
      <c r="G169" s="29">
        <f t="shared" si="4"/>
        <v>0</v>
      </c>
      <c r="H169" s="30">
        <v>850</v>
      </c>
      <c r="I169" s="19">
        <f t="shared" si="5"/>
        <v>0</v>
      </c>
    </row>
    <row r="170" spans="1:9" x14ac:dyDescent="0.3">
      <c r="A170" s="28" t="s">
        <v>44</v>
      </c>
      <c r="B170" s="28">
        <v>5</v>
      </c>
      <c r="C170" s="28"/>
      <c r="D170" s="29">
        <f t="shared" si="3"/>
        <v>5</v>
      </c>
      <c r="E170" s="28"/>
      <c r="F170" s="28">
        <v>5</v>
      </c>
      <c r="G170" s="29">
        <f t="shared" si="4"/>
        <v>0</v>
      </c>
      <c r="H170" s="30">
        <v>100</v>
      </c>
      <c r="I170" s="19">
        <f t="shared" si="5"/>
        <v>0</v>
      </c>
    </row>
    <row r="171" spans="1:9" x14ac:dyDescent="0.3">
      <c r="A171" s="28" t="s">
        <v>264</v>
      </c>
      <c r="B171" s="28">
        <v>50</v>
      </c>
      <c r="C171" s="28"/>
      <c r="D171" s="29">
        <f t="shared" si="3"/>
        <v>50</v>
      </c>
      <c r="E171" s="28"/>
      <c r="F171" s="28"/>
      <c r="G171" s="29">
        <f t="shared" si="4"/>
        <v>50</v>
      </c>
      <c r="H171" s="30">
        <v>25</v>
      </c>
      <c r="I171" s="19">
        <f t="shared" si="5"/>
        <v>1250</v>
      </c>
    </row>
    <row r="172" spans="1:9" x14ac:dyDescent="0.3">
      <c r="A172" s="28" t="s">
        <v>346</v>
      </c>
      <c r="B172" s="28">
        <v>5</v>
      </c>
      <c r="C172" s="28"/>
      <c r="D172" s="29">
        <f t="shared" si="3"/>
        <v>5</v>
      </c>
      <c r="E172" s="28"/>
      <c r="F172" s="28">
        <v>5</v>
      </c>
      <c r="G172" s="29">
        <f t="shared" si="4"/>
        <v>0</v>
      </c>
      <c r="H172" s="30">
        <v>650</v>
      </c>
      <c r="I172" s="19">
        <f t="shared" si="5"/>
        <v>0</v>
      </c>
    </row>
    <row r="173" spans="1:9" x14ac:dyDescent="0.3">
      <c r="A173" s="28" t="s">
        <v>407</v>
      </c>
      <c r="B173" s="28"/>
      <c r="C173" s="28"/>
      <c r="D173" s="29">
        <f t="shared" si="3"/>
        <v>0</v>
      </c>
      <c r="E173" s="28"/>
      <c r="F173" s="28"/>
      <c r="G173" s="29">
        <f t="shared" si="4"/>
        <v>0</v>
      </c>
      <c r="H173" s="30">
        <v>500</v>
      </c>
      <c r="I173" s="19">
        <f t="shared" si="5"/>
        <v>0</v>
      </c>
    </row>
    <row r="174" spans="1:9" x14ac:dyDescent="0.3">
      <c r="A174" s="24" t="s">
        <v>35</v>
      </c>
      <c r="B174" s="28"/>
      <c r="C174" s="28"/>
      <c r="D174" s="29">
        <f t="shared" ref="D174:D242" si="6">B174+C174</f>
        <v>0</v>
      </c>
      <c r="E174" s="28"/>
      <c r="F174" s="28"/>
      <c r="G174" s="29">
        <f t="shared" si="4"/>
        <v>0</v>
      </c>
      <c r="H174" s="30"/>
      <c r="I174" s="19">
        <f t="shared" si="5"/>
        <v>0</v>
      </c>
    </row>
    <row r="175" spans="1:9" x14ac:dyDescent="0.3">
      <c r="A175" s="28" t="s">
        <v>220</v>
      </c>
      <c r="B175" s="28">
        <v>50</v>
      </c>
      <c r="C175" s="28"/>
      <c r="D175" s="29">
        <f t="shared" si="6"/>
        <v>50</v>
      </c>
      <c r="E175" s="28"/>
      <c r="F175" s="28">
        <v>50</v>
      </c>
      <c r="G175" s="29">
        <f t="shared" si="4"/>
        <v>0</v>
      </c>
      <c r="H175" s="30">
        <v>100</v>
      </c>
      <c r="I175" s="19">
        <f t="shared" si="5"/>
        <v>0</v>
      </c>
    </row>
    <row r="176" spans="1:9" x14ac:dyDescent="0.3">
      <c r="A176" s="28" t="s">
        <v>81</v>
      </c>
      <c r="B176" s="28"/>
      <c r="C176" s="28"/>
      <c r="D176" s="29">
        <f t="shared" si="6"/>
        <v>0</v>
      </c>
      <c r="E176" s="28"/>
      <c r="F176" s="28"/>
      <c r="G176" s="29">
        <f t="shared" si="4"/>
        <v>0</v>
      </c>
      <c r="H176" s="30">
        <v>70</v>
      </c>
      <c r="I176" s="19">
        <f t="shared" si="5"/>
        <v>0</v>
      </c>
    </row>
    <row r="177" spans="1:9" x14ac:dyDescent="0.3">
      <c r="A177" s="28" t="s">
        <v>36</v>
      </c>
      <c r="B177" s="28"/>
      <c r="C177" s="28"/>
      <c r="D177" s="29">
        <f t="shared" si="6"/>
        <v>0</v>
      </c>
      <c r="E177" s="28"/>
      <c r="F177" s="28"/>
      <c r="G177" s="29">
        <f t="shared" si="4"/>
        <v>0</v>
      </c>
      <c r="H177" s="30">
        <v>1000</v>
      </c>
      <c r="I177" s="19">
        <f t="shared" si="5"/>
        <v>0</v>
      </c>
    </row>
    <row r="178" spans="1:9" x14ac:dyDescent="0.3">
      <c r="A178" s="28" t="s">
        <v>37</v>
      </c>
      <c r="B178" s="28"/>
      <c r="C178" s="28"/>
      <c r="D178" s="29">
        <f t="shared" si="6"/>
        <v>0</v>
      </c>
      <c r="E178" s="28"/>
      <c r="F178" s="28"/>
      <c r="G178" s="29">
        <f t="shared" si="4"/>
        <v>0</v>
      </c>
      <c r="H178" s="30">
        <v>120</v>
      </c>
      <c r="I178" s="19">
        <f t="shared" si="5"/>
        <v>0</v>
      </c>
    </row>
    <row r="179" spans="1:9" x14ac:dyDescent="0.3">
      <c r="A179" s="28" t="s">
        <v>357</v>
      </c>
      <c r="B179" s="28">
        <v>5</v>
      </c>
      <c r="C179" s="28"/>
      <c r="D179" s="29">
        <f t="shared" si="6"/>
        <v>5</v>
      </c>
      <c r="E179" s="28"/>
      <c r="F179" s="28"/>
      <c r="G179" s="29">
        <f t="shared" si="4"/>
        <v>5</v>
      </c>
      <c r="H179" s="31">
        <v>100</v>
      </c>
      <c r="I179" s="19">
        <f t="shared" si="5"/>
        <v>500</v>
      </c>
    </row>
    <row r="180" spans="1:9" x14ac:dyDescent="0.3">
      <c r="A180" s="28"/>
      <c r="B180" s="28"/>
      <c r="C180" s="28"/>
      <c r="D180" s="29">
        <f t="shared" si="6"/>
        <v>0</v>
      </c>
      <c r="E180" s="28"/>
      <c r="F180" s="28"/>
      <c r="G180" s="29">
        <f t="shared" si="4"/>
        <v>0</v>
      </c>
      <c r="H180" s="30">
        <v>300</v>
      </c>
      <c r="I180" s="19">
        <f t="shared" si="5"/>
        <v>0</v>
      </c>
    </row>
    <row r="181" spans="1:9" x14ac:dyDescent="0.3">
      <c r="A181" s="28"/>
      <c r="B181" s="28"/>
      <c r="C181" s="28"/>
      <c r="D181" s="29">
        <f t="shared" si="6"/>
        <v>0</v>
      </c>
      <c r="E181" s="28"/>
      <c r="F181" s="28"/>
      <c r="G181" s="29">
        <f t="shared" si="4"/>
        <v>0</v>
      </c>
      <c r="H181" s="30"/>
      <c r="I181" s="19"/>
    </row>
    <row r="182" spans="1:9" x14ac:dyDescent="0.3">
      <c r="A182" s="24" t="s">
        <v>320</v>
      </c>
      <c r="B182" s="28"/>
      <c r="C182" s="28"/>
      <c r="D182" s="29">
        <f t="shared" si="6"/>
        <v>0</v>
      </c>
      <c r="E182" s="28"/>
      <c r="F182" s="28"/>
      <c r="G182" s="29">
        <f t="shared" si="4"/>
        <v>0</v>
      </c>
      <c r="H182" s="30"/>
      <c r="I182" s="19"/>
    </row>
    <row r="183" spans="1:9" x14ac:dyDescent="0.3">
      <c r="A183" s="28" t="s">
        <v>51</v>
      </c>
      <c r="B183" s="28">
        <v>4</v>
      </c>
      <c r="C183" s="28"/>
      <c r="D183" s="29">
        <f t="shared" si="6"/>
        <v>4</v>
      </c>
      <c r="E183" s="28"/>
      <c r="F183" s="28">
        <v>4</v>
      </c>
      <c r="G183" s="29">
        <f t="shared" si="4"/>
        <v>0</v>
      </c>
      <c r="H183" s="30">
        <v>130</v>
      </c>
      <c r="I183" s="19">
        <f t="shared" si="5"/>
        <v>0</v>
      </c>
    </row>
    <row r="184" spans="1:9" x14ac:dyDescent="0.3">
      <c r="A184" s="28"/>
      <c r="B184" s="28"/>
      <c r="C184" s="28"/>
      <c r="D184" s="29">
        <f t="shared" si="6"/>
        <v>0</v>
      </c>
      <c r="E184" s="28"/>
      <c r="F184" s="28"/>
      <c r="G184" s="29">
        <f t="shared" si="4"/>
        <v>0</v>
      </c>
      <c r="H184" s="30"/>
      <c r="I184" s="19">
        <f t="shared" si="5"/>
        <v>0</v>
      </c>
    </row>
    <row r="185" spans="1:9" x14ac:dyDescent="0.3">
      <c r="A185" s="24" t="s">
        <v>70</v>
      </c>
      <c r="B185" s="28"/>
      <c r="C185" s="28"/>
      <c r="D185" s="29">
        <f t="shared" si="6"/>
        <v>0</v>
      </c>
      <c r="E185" s="28"/>
      <c r="F185" s="28"/>
      <c r="G185" s="29">
        <f t="shared" si="4"/>
        <v>0</v>
      </c>
      <c r="H185" s="30"/>
      <c r="I185" s="19">
        <f t="shared" si="5"/>
        <v>0</v>
      </c>
    </row>
    <row r="186" spans="1:9" x14ac:dyDescent="0.3">
      <c r="A186" s="28" t="s">
        <v>248</v>
      </c>
      <c r="B186" s="28">
        <v>10</v>
      </c>
      <c r="C186" s="28"/>
      <c r="D186" s="29">
        <f t="shared" si="6"/>
        <v>10</v>
      </c>
      <c r="E186" s="28"/>
      <c r="F186" s="28">
        <v>2</v>
      </c>
      <c r="G186" s="29">
        <f t="shared" si="4"/>
        <v>8</v>
      </c>
      <c r="H186" s="30">
        <v>700</v>
      </c>
      <c r="I186" s="19">
        <f t="shared" si="5"/>
        <v>5600</v>
      </c>
    </row>
    <row r="187" spans="1:9" x14ac:dyDescent="0.3">
      <c r="A187" s="28" t="s">
        <v>249</v>
      </c>
      <c r="B187" s="28">
        <v>10</v>
      </c>
      <c r="C187" s="28"/>
      <c r="D187" s="29">
        <f t="shared" si="6"/>
        <v>10</v>
      </c>
      <c r="E187" s="28"/>
      <c r="F187" s="28">
        <v>10</v>
      </c>
      <c r="G187" s="29">
        <f t="shared" si="4"/>
        <v>0</v>
      </c>
      <c r="H187" s="30">
        <v>650</v>
      </c>
      <c r="I187" s="19">
        <f t="shared" si="5"/>
        <v>0</v>
      </c>
    </row>
    <row r="188" spans="1:9" x14ac:dyDescent="0.3">
      <c r="A188" s="28" t="s">
        <v>38</v>
      </c>
      <c r="B188" s="28">
        <v>11</v>
      </c>
      <c r="C188" s="28"/>
      <c r="D188" s="29">
        <f t="shared" si="6"/>
        <v>11</v>
      </c>
      <c r="E188" s="28"/>
      <c r="F188" s="28">
        <v>11</v>
      </c>
      <c r="G188" s="29">
        <f t="shared" si="4"/>
        <v>0</v>
      </c>
      <c r="H188" s="30">
        <v>300</v>
      </c>
      <c r="I188" s="19">
        <f t="shared" si="5"/>
        <v>0</v>
      </c>
    </row>
    <row r="189" spans="1:9" x14ac:dyDescent="0.3">
      <c r="A189" s="28" t="s">
        <v>39</v>
      </c>
      <c r="B189" s="28"/>
      <c r="C189" s="28"/>
      <c r="D189" s="29">
        <f t="shared" si="6"/>
        <v>0</v>
      </c>
      <c r="E189" s="28"/>
      <c r="F189" s="28"/>
      <c r="G189" s="29">
        <f t="shared" si="4"/>
        <v>0</v>
      </c>
      <c r="H189" s="30">
        <v>12</v>
      </c>
      <c r="I189" s="19">
        <f t="shared" si="5"/>
        <v>0</v>
      </c>
    </row>
    <row r="190" spans="1:9" x14ac:dyDescent="0.3">
      <c r="A190" s="28" t="s">
        <v>40</v>
      </c>
      <c r="B190" s="28"/>
      <c r="C190" s="28"/>
      <c r="D190" s="29">
        <f t="shared" si="6"/>
        <v>0</v>
      </c>
      <c r="E190" s="28"/>
      <c r="F190" s="28"/>
      <c r="G190" s="29">
        <f t="shared" si="4"/>
        <v>0</v>
      </c>
      <c r="H190" s="30">
        <v>700</v>
      </c>
      <c r="I190" s="19">
        <f t="shared" si="5"/>
        <v>0</v>
      </c>
    </row>
    <row r="191" spans="1:9" x14ac:dyDescent="0.3">
      <c r="A191" s="28" t="s">
        <v>41</v>
      </c>
      <c r="B191" s="28"/>
      <c r="C191" s="28"/>
      <c r="D191" s="29">
        <f t="shared" si="6"/>
        <v>0</v>
      </c>
      <c r="E191" s="28"/>
      <c r="F191" s="28"/>
      <c r="G191" s="29">
        <f t="shared" si="4"/>
        <v>0</v>
      </c>
      <c r="H191" s="30"/>
      <c r="I191" s="19">
        <f t="shared" si="5"/>
        <v>0</v>
      </c>
    </row>
    <row r="192" spans="1:9" x14ac:dyDescent="0.3">
      <c r="A192" s="28" t="s">
        <v>118</v>
      </c>
      <c r="B192" s="28"/>
      <c r="C192" s="28"/>
      <c r="D192" s="29">
        <f t="shared" si="6"/>
        <v>0</v>
      </c>
      <c r="E192" s="28"/>
      <c r="F192" s="28"/>
      <c r="G192" s="29">
        <f t="shared" si="4"/>
        <v>0</v>
      </c>
      <c r="H192" s="30">
        <v>650</v>
      </c>
      <c r="I192" s="19">
        <f t="shared" si="5"/>
        <v>0</v>
      </c>
    </row>
    <row r="193" spans="1:9" x14ac:dyDescent="0.3">
      <c r="A193" s="28" t="s">
        <v>137</v>
      </c>
      <c r="B193" s="28">
        <v>410</v>
      </c>
      <c r="C193" s="28"/>
      <c r="D193" s="29">
        <f t="shared" si="6"/>
        <v>410</v>
      </c>
      <c r="E193" s="28"/>
      <c r="F193" s="28">
        <v>270</v>
      </c>
      <c r="G193" s="29">
        <f t="shared" si="4"/>
        <v>140</v>
      </c>
      <c r="H193" s="30">
        <v>420</v>
      </c>
      <c r="I193" s="19">
        <f t="shared" si="5"/>
        <v>58800</v>
      </c>
    </row>
    <row r="194" spans="1:9" x14ac:dyDescent="0.3">
      <c r="A194" s="28" t="s">
        <v>201</v>
      </c>
      <c r="B194" s="28">
        <v>21</v>
      </c>
      <c r="C194" s="28"/>
      <c r="D194" s="29">
        <f t="shared" si="6"/>
        <v>21</v>
      </c>
      <c r="E194" s="28"/>
      <c r="F194" s="28">
        <v>15</v>
      </c>
      <c r="G194" s="29">
        <f t="shared" si="4"/>
        <v>6</v>
      </c>
      <c r="H194" s="30">
        <v>400</v>
      </c>
      <c r="I194" s="19">
        <f t="shared" si="5"/>
        <v>2400</v>
      </c>
    </row>
    <row r="195" spans="1:9" x14ac:dyDescent="0.3">
      <c r="A195" s="28" t="s">
        <v>142</v>
      </c>
      <c r="B195" s="28">
        <v>1</v>
      </c>
      <c r="C195" s="28"/>
      <c r="D195" s="29">
        <f t="shared" si="6"/>
        <v>1</v>
      </c>
      <c r="E195" s="28"/>
      <c r="F195" s="28">
        <v>1</v>
      </c>
      <c r="G195" s="29">
        <f t="shared" si="4"/>
        <v>0</v>
      </c>
      <c r="H195" s="30">
        <v>70</v>
      </c>
      <c r="I195" s="19">
        <f t="shared" si="5"/>
        <v>0</v>
      </c>
    </row>
    <row r="196" spans="1:9" x14ac:dyDescent="0.3">
      <c r="A196" s="28" t="s">
        <v>75</v>
      </c>
      <c r="B196" s="28">
        <v>500</v>
      </c>
      <c r="C196" s="28"/>
      <c r="D196" s="29">
        <f t="shared" si="6"/>
        <v>500</v>
      </c>
      <c r="E196" s="28"/>
      <c r="F196" s="28">
        <v>500</v>
      </c>
      <c r="G196" s="29">
        <f t="shared" si="4"/>
        <v>0</v>
      </c>
      <c r="H196" s="30">
        <v>20</v>
      </c>
      <c r="I196" s="19">
        <f t="shared" si="5"/>
        <v>0</v>
      </c>
    </row>
    <row r="197" spans="1:9" x14ac:dyDescent="0.3">
      <c r="A197" s="28" t="s">
        <v>185</v>
      </c>
      <c r="B197" s="28">
        <v>150</v>
      </c>
      <c r="C197" s="28"/>
      <c r="D197" s="29">
        <f t="shared" si="6"/>
        <v>150</v>
      </c>
      <c r="E197" s="28"/>
      <c r="F197" s="28">
        <v>100</v>
      </c>
      <c r="G197" s="29">
        <f t="shared" si="4"/>
        <v>50</v>
      </c>
      <c r="H197" s="30">
        <v>4.5</v>
      </c>
      <c r="I197" s="19">
        <f t="shared" si="5"/>
        <v>225</v>
      </c>
    </row>
    <row r="198" spans="1:9" x14ac:dyDescent="0.3">
      <c r="A198" s="28" t="s">
        <v>406</v>
      </c>
      <c r="B198" s="28"/>
      <c r="C198" s="28">
        <v>15</v>
      </c>
      <c r="D198" s="29">
        <f t="shared" si="6"/>
        <v>15</v>
      </c>
      <c r="E198" s="28"/>
      <c r="F198" s="28">
        <v>11</v>
      </c>
      <c r="G198" s="29">
        <f t="shared" si="4"/>
        <v>4</v>
      </c>
      <c r="H198" s="30">
        <v>600</v>
      </c>
      <c r="I198" s="19">
        <f t="shared" ref="I198:I291" si="7">G198*H198</f>
        <v>2400</v>
      </c>
    </row>
    <row r="199" spans="1:9" x14ac:dyDescent="0.3">
      <c r="A199" s="28" t="s">
        <v>153</v>
      </c>
      <c r="B199" s="28"/>
      <c r="C199" s="28"/>
      <c r="D199" s="29">
        <f t="shared" si="6"/>
        <v>0</v>
      </c>
      <c r="E199" s="28"/>
      <c r="F199" s="28"/>
      <c r="G199" s="29">
        <f t="shared" si="4"/>
        <v>0</v>
      </c>
      <c r="H199" s="30">
        <v>20</v>
      </c>
      <c r="I199" s="19">
        <f t="shared" si="7"/>
        <v>0</v>
      </c>
    </row>
    <row r="200" spans="1:9" x14ac:dyDescent="0.3">
      <c r="A200" s="28" t="s">
        <v>221</v>
      </c>
      <c r="B200" s="28"/>
      <c r="C200" s="28"/>
      <c r="D200" s="29">
        <f t="shared" si="6"/>
        <v>0</v>
      </c>
      <c r="E200" s="28"/>
      <c r="F200" s="28"/>
      <c r="G200" s="29">
        <f t="shared" si="4"/>
        <v>0</v>
      </c>
      <c r="H200" s="30"/>
      <c r="I200" s="19">
        <f t="shared" si="7"/>
        <v>0</v>
      </c>
    </row>
    <row r="201" spans="1:9" x14ac:dyDescent="0.3">
      <c r="A201" s="28" t="s">
        <v>242</v>
      </c>
      <c r="B201" s="28"/>
      <c r="C201" s="28"/>
      <c r="D201" s="29">
        <f t="shared" si="6"/>
        <v>0</v>
      </c>
      <c r="E201" s="28"/>
      <c r="F201" s="28"/>
      <c r="G201" s="29">
        <f t="shared" si="4"/>
        <v>0</v>
      </c>
      <c r="H201" s="30">
        <v>20</v>
      </c>
      <c r="I201" s="19">
        <f t="shared" si="7"/>
        <v>0</v>
      </c>
    </row>
    <row r="202" spans="1:9" x14ac:dyDescent="0.3">
      <c r="A202" s="28" t="s">
        <v>315</v>
      </c>
      <c r="B202" s="28"/>
      <c r="C202" s="28"/>
      <c r="D202" s="29">
        <f t="shared" si="6"/>
        <v>0</v>
      </c>
      <c r="E202" s="28"/>
      <c r="F202" s="28"/>
      <c r="G202" s="29">
        <f t="shared" si="4"/>
        <v>0</v>
      </c>
      <c r="H202" s="30">
        <v>350</v>
      </c>
      <c r="I202" s="19">
        <f t="shared" si="7"/>
        <v>0</v>
      </c>
    </row>
    <row r="203" spans="1:9" x14ac:dyDescent="0.3">
      <c r="A203" s="28" t="s">
        <v>278</v>
      </c>
      <c r="B203" s="28">
        <v>9</v>
      </c>
      <c r="C203" s="28"/>
      <c r="D203" s="29">
        <f t="shared" si="6"/>
        <v>9</v>
      </c>
      <c r="E203" s="28"/>
      <c r="F203" s="28">
        <v>7</v>
      </c>
      <c r="G203" s="29">
        <f t="shared" si="4"/>
        <v>2</v>
      </c>
      <c r="H203" s="30">
        <v>320</v>
      </c>
      <c r="I203" s="19">
        <f t="shared" si="7"/>
        <v>640</v>
      </c>
    </row>
    <row r="204" spans="1:9" x14ac:dyDescent="0.3">
      <c r="A204" s="28" t="s">
        <v>302</v>
      </c>
      <c r="B204" s="28">
        <v>10</v>
      </c>
      <c r="C204" s="28"/>
      <c r="D204" s="29">
        <f t="shared" si="6"/>
        <v>10</v>
      </c>
      <c r="E204" s="28"/>
      <c r="F204" s="28"/>
      <c r="G204" s="29">
        <f t="shared" si="4"/>
        <v>10</v>
      </c>
      <c r="H204" s="30">
        <v>480</v>
      </c>
      <c r="I204" s="19">
        <f t="shared" si="7"/>
        <v>4800</v>
      </c>
    </row>
    <row r="205" spans="1:9" x14ac:dyDescent="0.3">
      <c r="A205" s="28" t="s">
        <v>328</v>
      </c>
      <c r="B205" s="28"/>
      <c r="C205" s="28"/>
      <c r="D205" s="29">
        <f t="shared" si="6"/>
        <v>0</v>
      </c>
      <c r="E205" s="28"/>
      <c r="F205" s="28"/>
      <c r="G205" s="29">
        <f t="shared" si="4"/>
        <v>0</v>
      </c>
      <c r="H205" s="30">
        <v>1585</v>
      </c>
      <c r="I205" s="19">
        <f t="shared" si="7"/>
        <v>0</v>
      </c>
    </row>
    <row r="206" spans="1:9" x14ac:dyDescent="0.3">
      <c r="A206" s="28" t="s">
        <v>329</v>
      </c>
      <c r="B206" s="28"/>
      <c r="C206" s="28"/>
      <c r="D206" s="29">
        <f t="shared" si="6"/>
        <v>0</v>
      </c>
      <c r="E206" s="28"/>
      <c r="F206" s="28"/>
      <c r="G206" s="29">
        <f t="shared" si="4"/>
        <v>0</v>
      </c>
      <c r="H206" s="30">
        <v>750</v>
      </c>
      <c r="I206" s="19">
        <f t="shared" si="7"/>
        <v>0</v>
      </c>
    </row>
    <row r="207" spans="1:9" x14ac:dyDescent="0.3">
      <c r="A207" s="28" t="s">
        <v>368</v>
      </c>
      <c r="B207" s="28">
        <v>7</v>
      </c>
      <c r="C207" s="28"/>
      <c r="D207" s="29">
        <f t="shared" si="6"/>
        <v>7</v>
      </c>
      <c r="E207" s="28"/>
      <c r="F207" s="28"/>
      <c r="G207" s="29">
        <f t="shared" si="4"/>
        <v>7</v>
      </c>
      <c r="H207" s="30">
        <v>400</v>
      </c>
      <c r="I207" s="19">
        <f t="shared" si="7"/>
        <v>2800</v>
      </c>
    </row>
    <row r="208" spans="1:9" x14ac:dyDescent="0.3">
      <c r="A208" s="28" t="s">
        <v>347</v>
      </c>
      <c r="B208" s="28"/>
      <c r="C208" s="28"/>
      <c r="D208" s="29">
        <f t="shared" si="6"/>
        <v>0</v>
      </c>
      <c r="E208" s="28"/>
      <c r="F208" s="28"/>
      <c r="G208" s="29">
        <f t="shared" si="4"/>
        <v>0</v>
      </c>
      <c r="H208" s="30">
        <v>1300</v>
      </c>
      <c r="I208" s="19">
        <f t="shared" si="7"/>
        <v>0</v>
      </c>
    </row>
    <row r="209" spans="1:9" x14ac:dyDescent="0.3">
      <c r="A209" s="28" t="s">
        <v>369</v>
      </c>
      <c r="B209" s="28"/>
      <c r="C209" s="28"/>
      <c r="D209" s="29">
        <f t="shared" si="6"/>
        <v>0</v>
      </c>
      <c r="E209" s="28"/>
      <c r="F209" s="28"/>
      <c r="G209" s="29">
        <f t="shared" si="4"/>
        <v>0</v>
      </c>
      <c r="H209" s="30">
        <v>1100</v>
      </c>
      <c r="I209" s="19">
        <f t="shared" si="7"/>
        <v>0</v>
      </c>
    </row>
    <row r="210" spans="1:9" x14ac:dyDescent="0.3">
      <c r="A210" s="28"/>
      <c r="B210" s="28"/>
      <c r="C210" s="28"/>
      <c r="D210" s="29"/>
      <c r="E210" s="28"/>
      <c r="F210" s="28"/>
      <c r="G210" s="29"/>
      <c r="H210" s="30"/>
      <c r="I210" s="19"/>
    </row>
    <row r="211" spans="1:9" x14ac:dyDescent="0.3">
      <c r="A211" s="24" t="s">
        <v>42</v>
      </c>
      <c r="B211" s="28"/>
      <c r="C211" s="28"/>
      <c r="D211" s="29">
        <f t="shared" si="6"/>
        <v>0</v>
      </c>
      <c r="E211" s="28"/>
      <c r="F211" s="28"/>
      <c r="G211" s="29">
        <f t="shared" si="4"/>
        <v>0</v>
      </c>
      <c r="H211" s="30"/>
      <c r="I211" s="19">
        <f t="shared" si="7"/>
        <v>0</v>
      </c>
    </row>
    <row r="212" spans="1:9" x14ac:dyDescent="0.3">
      <c r="A212" s="28" t="s">
        <v>235</v>
      </c>
      <c r="B212" s="28">
        <v>17</v>
      </c>
      <c r="C212" s="28"/>
      <c r="D212" s="29">
        <f t="shared" si="6"/>
        <v>17</v>
      </c>
      <c r="E212" s="28"/>
      <c r="F212" s="28">
        <v>17</v>
      </c>
      <c r="G212" s="29">
        <f t="shared" si="4"/>
        <v>0</v>
      </c>
      <c r="H212" s="30">
        <v>750</v>
      </c>
      <c r="I212" s="19">
        <f t="shared" si="7"/>
        <v>0</v>
      </c>
    </row>
    <row r="213" spans="1:9" x14ac:dyDescent="0.3">
      <c r="A213" s="28" t="s">
        <v>43</v>
      </c>
      <c r="B213" s="28">
        <v>116</v>
      </c>
      <c r="C213" s="28">
        <v>100</v>
      </c>
      <c r="D213" s="29">
        <f t="shared" si="6"/>
        <v>216</v>
      </c>
      <c r="E213" s="28"/>
      <c r="F213" s="28">
        <v>109</v>
      </c>
      <c r="G213" s="29">
        <f t="shared" si="4"/>
        <v>107</v>
      </c>
      <c r="H213" s="30">
        <v>200</v>
      </c>
      <c r="I213" s="19">
        <f t="shared" si="7"/>
        <v>21400</v>
      </c>
    </row>
    <row r="214" spans="1:9" x14ac:dyDescent="0.3">
      <c r="A214" s="28" t="s">
        <v>269</v>
      </c>
      <c r="B214" s="28"/>
      <c r="C214" s="28"/>
      <c r="D214" s="29">
        <f t="shared" si="6"/>
        <v>0</v>
      </c>
      <c r="E214" s="28"/>
      <c r="F214" s="28"/>
      <c r="G214" s="29">
        <f t="shared" si="4"/>
        <v>0</v>
      </c>
      <c r="H214" s="30">
        <v>100</v>
      </c>
      <c r="I214" s="19">
        <f t="shared" si="7"/>
        <v>0</v>
      </c>
    </row>
    <row r="215" spans="1:9" x14ac:dyDescent="0.3">
      <c r="A215" s="28" t="s">
        <v>44</v>
      </c>
      <c r="B215" s="28">
        <v>200</v>
      </c>
      <c r="C215" s="28"/>
      <c r="D215" s="29">
        <f t="shared" si="6"/>
        <v>200</v>
      </c>
      <c r="E215" s="28"/>
      <c r="F215" s="28">
        <v>52</v>
      </c>
      <c r="G215" s="29">
        <f t="shared" si="4"/>
        <v>148</v>
      </c>
      <c r="H215" s="31">
        <v>120</v>
      </c>
      <c r="I215" s="19">
        <f t="shared" si="7"/>
        <v>17760</v>
      </c>
    </row>
    <row r="216" spans="1:9" x14ac:dyDescent="0.3">
      <c r="A216" s="28" t="s">
        <v>45</v>
      </c>
      <c r="B216" s="28">
        <v>12</v>
      </c>
      <c r="C216" s="28">
        <v>10</v>
      </c>
      <c r="D216" s="29">
        <f t="shared" si="6"/>
        <v>22</v>
      </c>
      <c r="E216" s="28"/>
      <c r="F216" s="28">
        <v>13</v>
      </c>
      <c r="G216" s="29">
        <f t="shared" si="4"/>
        <v>9</v>
      </c>
      <c r="H216" s="31">
        <v>350</v>
      </c>
      <c r="I216" s="19">
        <f t="shared" si="7"/>
        <v>3150</v>
      </c>
    </row>
    <row r="217" spans="1:9" x14ac:dyDescent="0.3">
      <c r="A217" s="28" t="s">
        <v>46</v>
      </c>
      <c r="B217" s="28">
        <v>50</v>
      </c>
      <c r="C217" s="28">
        <v>100</v>
      </c>
      <c r="D217" s="29">
        <f t="shared" si="6"/>
        <v>150</v>
      </c>
      <c r="E217" s="28"/>
      <c r="F217" s="28">
        <v>79</v>
      </c>
      <c r="G217" s="29">
        <f t="shared" si="4"/>
        <v>71</v>
      </c>
      <c r="H217" s="30">
        <v>100</v>
      </c>
      <c r="I217" s="19">
        <f t="shared" si="7"/>
        <v>7100</v>
      </c>
    </row>
    <row r="218" spans="1:9" x14ac:dyDescent="0.3">
      <c r="A218" s="28" t="s">
        <v>47</v>
      </c>
      <c r="B218" s="28">
        <v>78</v>
      </c>
      <c r="C218" s="28"/>
      <c r="D218" s="29">
        <f t="shared" si="6"/>
        <v>78</v>
      </c>
      <c r="E218" s="28"/>
      <c r="F218" s="28">
        <v>20</v>
      </c>
      <c r="G218" s="29">
        <f t="shared" si="4"/>
        <v>58</v>
      </c>
      <c r="H218" s="31">
        <v>300</v>
      </c>
      <c r="I218" s="19">
        <f t="shared" si="7"/>
        <v>17400</v>
      </c>
    </row>
    <row r="219" spans="1:9" x14ac:dyDescent="0.3">
      <c r="A219" s="28" t="s">
        <v>49</v>
      </c>
      <c r="B219" s="28"/>
      <c r="C219" s="28"/>
      <c r="D219" s="29">
        <f t="shared" si="6"/>
        <v>0</v>
      </c>
      <c r="E219" s="28"/>
      <c r="F219" s="28"/>
      <c r="G219" s="29">
        <f t="shared" si="4"/>
        <v>0</v>
      </c>
      <c r="H219" s="30">
        <v>650</v>
      </c>
      <c r="I219" s="19">
        <f t="shared" si="7"/>
        <v>0</v>
      </c>
    </row>
    <row r="220" spans="1:9" x14ac:dyDescent="0.3">
      <c r="A220" s="28" t="s">
        <v>48</v>
      </c>
      <c r="B220" s="28">
        <v>6</v>
      </c>
      <c r="C220" s="28"/>
      <c r="D220" s="29">
        <f t="shared" si="6"/>
        <v>6</v>
      </c>
      <c r="E220" s="28"/>
      <c r="F220" s="28">
        <v>5</v>
      </c>
      <c r="G220" s="29">
        <f t="shared" si="4"/>
        <v>1</v>
      </c>
      <c r="H220" s="30">
        <v>1400</v>
      </c>
      <c r="I220" s="19">
        <f t="shared" si="7"/>
        <v>1400</v>
      </c>
    </row>
    <row r="221" spans="1:9" x14ac:dyDescent="0.3">
      <c r="A221" s="28" t="s">
        <v>50</v>
      </c>
      <c r="B221" s="28">
        <v>145</v>
      </c>
      <c r="C221" s="28"/>
      <c r="D221" s="29">
        <f t="shared" si="6"/>
        <v>145</v>
      </c>
      <c r="E221" s="28"/>
      <c r="F221" s="28">
        <v>130</v>
      </c>
      <c r="G221" s="29">
        <f t="shared" si="4"/>
        <v>15</v>
      </c>
      <c r="H221" s="30">
        <v>200</v>
      </c>
      <c r="I221" s="19">
        <f t="shared" si="7"/>
        <v>3000</v>
      </c>
    </row>
    <row r="222" spans="1:9" x14ac:dyDescent="0.3">
      <c r="A222" s="28"/>
      <c r="B222" s="28"/>
      <c r="C222" s="28"/>
      <c r="D222" s="29">
        <f t="shared" si="6"/>
        <v>0</v>
      </c>
      <c r="E222" s="28"/>
      <c r="F222" s="28"/>
      <c r="G222" s="29">
        <f t="shared" si="4"/>
        <v>0</v>
      </c>
      <c r="H222" s="30">
        <v>100</v>
      </c>
      <c r="I222" s="19">
        <f t="shared" si="7"/>
        <v>0</v>
      </c>
    </row>
    <row r="223" spans="1:9" x14ac:dyDescent="0.3">
      <c r="A223" s="28" t="s">
        <v>52</v>
      </c>
      <c r="B223" s="28">
        <v>68</v>
      </c>
      <c r="C223" s="28">
        <v>20</v>
      </c>
      <c r="D223" s="29">
        <f t="shared" si="6"/>
        <v>88</v>
      </c>
      <c r="E223" s="28"/>
      <c r="F223" s="28">
        <v>60</v>
      </c>
      <c r="G223" s="29">
        <f t="shared" si="4"/>
        <v>28</v>
      </c>
      <c r="H223" s="30">
        <v>950</v>
      </c>
      <c r="I223" s="19">
        <f t="shared" si="7"/>
        <v>26600</v>
      </c>
    </row>
    <row r="224" spans="1:9" x14ac:dyDescent="0.3">
      <c r="A224" s="28" t="s">
        <v>53</v>
      </c>
      <c r="B224" s="28">
        <v>194</v>
      </c>
      <c r="C224" s="28"/>
      <c r="D224" s="29">
        <f t="shared" si="6"/>
        <v>194</v>
      </c>
      <c r="E224" s="28"/>
      <c r="F224" s="28">
        <v>158</v>
      </c>
      <c r="G224" s="29">
        <f t="shared" ref="G224:G337" si="8">D224-E224-F224</f>
        <v>36</v>
      </c>
      <c r="H224" s="31">
        <v>550</v>
      </c>
      <c r="I224" s="19">
        <f t="shared" si="7"/>
        <v>19800</v>
      </c>
    </row>
    <row r="225" spans="1:9" x14ac:dyDescent="0.3">
      <c r="A225" s="28" t="s">
        <v>54</v>
      </c>
      <c r="B225" s="28"/>
      <c r="C225" s="28"/>
      <c r="D225" s="29">
        <f t="shared" si="6"/>
        <v>0</v>
      </c>
      <c r="E225" s="28"/>
      <c r="F225" s="28"/>
      <c r="G225" s="29">
        <f t="shared" si="8"/>
        <v>0</v>
      </c>
      <c r="H225" s="30"/>
      <c r="I225" s="19">
        <f t="shared" si="7"/>
        <v>0</v>
      </c>
    </row>
    <row r="226" spans="1:9" x14ac:dyDescent="0.3">
      <c r="A226" s="28" t="s">
        <v>233</v>
      </c>
      <c r="B226" s="28"/>
      <c r="C226" s="28"/>
      <c r="D226" s="29">
        <f t="shared" si="6"/>
        <v>0</v>
      </c>
      <c r="E226" s="28"/>
      <c r="F226" s="28"/>
      <c r="G226" s="29">
        <f t="shared" si="8"/>
        <v>0</v>
      </c>
      <c r="H226" s="33">
        <v>1100</v>
      </c>
      <c r="I226" s="19">
        <f t="shared" si="7"/>
        <v>0</v>
      </c>
    </row>
    <row r="227" spans="1:9" x14ac:dyDescent="0.3">
      <c r="A227" s="28" t="s">
        <v>67</v>
      </c>
      <c r="B227" s="28">
        <v>71</v>
      </c>
      <c r="C227" s="28"/>
      <c r="D227" s="29">
        <f t="shared" si="6"/>
        <v>71</v>
      </c>
      <c r="E227" s="28"/>
      <c r="F227" s="28">
        <v>55</v>
      </c>
      <c r="G227" s="29">
        <f t="shared" si="8"/>
        <v>16</v>
      </c>
      <c r="H227" s="30">
        <v>500</v>
      </c>
      <c r="I227" s="19">
        <f t="shared" si="7"/>
        <v>8000</v>
      </c>
    </row>
    <row r="228" spans="1:9" x14ac:dyDescent="0.3">
      <c r="A228" s="28" t="s">
        <v>71</v>
      </c>
      <c r="B228" s="28">
        <v>20</v>
      </c>
      <c r="C228" s="28">
        <v>60</v>
      </c>
      <c r="D228" s="29">
        <f t="shared" si="6"/>
        <v>80</v>
      </c>
      <c r="E228" s="28"/>
      <c r="F228" s="28">
        <v>58</v>
      </c>
      <c r="G228" s="29">
        <f t="shared" si="8"/>
        <v>22</v>
      </c>
      <c r="H228" s="31">
        <v>400</v>
      </c>
      <c r="I228" s="19">
        <f t="shared" si="7"/>
        <v>8800</v>
      </c>
    </row>
    <row r="229" spans="1:9" x14ac:dyDescent="0.3">
      <c r="A229" s="28" t="s">
        <v>72</v>
      </c>
      <c r="B229" s="28">
        <v>10</v>
      </c>
      <c r="C229" s="28"/>
      <c r="D229" s="29">
        <f t="shared" si="6"/>
        <v>10</v>
      </c>
      <c r="E229" s="28"/>
      <c r="F229" s="28">
        <v>5</v>
      </c>
      <c r="G229" s="29">
        <f t="shared" si="8"/>
        <v>5</v>
      </c>
      <c r="H229" s="30">
        <v>70</v>
      </c>
      <c r="I229" s="19">
        <f t="shared" si="7"/>
        <v>350</v>
      </c>
    </row>
    <row r="230" spans="1:9" x14ac:dyDescent="0.3">
      <c r="A230" s="28" t="s">
        <v>73</v>
      </c>
      <c r="B230" s="28">
        <v>4</v>
      </c>
      <c r="C230" s="28">
        <v>5</v>
      </c>
      <c r="D230" s="29">
        <f t="shared" si="6"/>
        <v>9</v>
      </c>
      <c r="E230" s="28"/>
      <c r="F230" s="28">
        <v>7</v>
      </c>
      <c r="G230" s="29">
        <f t="shared" si="8"/>
        <v>2</v>
      </c>
      <c r="H230" s="30">
        <v>600</v>
      </c>
      <c r="I230" s="19">
        <f t="shared" si="7"/>
        <v>1200</v>
      </c>
    </row>
    <row r="231" spans="1:9" x14ac:dyDescent="0.3">
      <c r="A231" s="28" t="s">
        <v>75</v>
      </c>
      <c r="B231" s="28">
        <v>12</v>
      </c>
      <c r="C231" s="28"/>
      <c r="D231" s="29">
        <f t="shared" si="6"/>
        <v>12</v>
      </c>
      <c r="E231" s="28"/>
      <c r="F231" s="28">
        <v>4</v>
      </c>
      <c r="G231" s="29">
        <f t="shared" si="8"/>
        <v>8</v>
      </c>
      <c r="H231" s="31">
        <v>150</v>
      </c>
      <c r="I231" s="19">
        <f t="shared" si="7"/>
        <v>1200</v>
      </c>
    </row>
    <row r="232" spans="1:9" x14ac:dyDescent="0.3">
      <c r="A232" s="28" t="s">
        <v>76</v>
      </c>
      <c r="B232" s="28">
        <v>16</v>
      </c>
      <c r="C232" s="28">
        <v>30</v>
      </c>
      <c r="D232" s="29">
        <f t="shared" si="6"/>
        <v>46</v>
      </c>
      <c r="E232" s="28"/>
      <c r="F232" s="28">
        <v>9</v>
      </c>
      <c r="G232" s="29">
        <f t="shared" si="8"/>
        <v>37</v>
      </c>
      <c r="H232" s="31">
        <v>700</v>
      </c>
      <c r="I232" s="19">
        <f t="shared" si="7"/>
        <v>25900</v>
      </c>
    </row>
    <row r="233" spans="1:9" x14ac:dyDescent="0.3">
      <c r="A233" s="28" t="s">
        <v>74</v>
      </c>
      <c r="B233" s="28">
        <v>19</v>
      </c>
      <c r="C233" s="28"/>
      <c r="D233" s="29">
        <f t="shared" si="6"/>
        <v>19</v>
      </c>
      <c r="E233" s="28"/>
      <c r="F233" s="28">
        <v>10</v>
      </c>
      <c r="G233" s="29">
        <f t="shared" si="8"/>
        <v>9</v>
      </c>
      <c r="H233" s="31">
        <v>300</v>
      </c>
      <c r="I233" s="19">
        <f t="shared" si="7"/>
        <v>2700</v>
      </c>
    </row>
    <row r="234" spans="1:9" x14ac:dyDescent="0.3">
      <c r="A234" s="28" t="s">
        <v>78</v>
      </c>
      <c r="B234" s="28">
        <v>45</v>
      </c>
      <c r="C234" s="28"/>
      <c r="D234" s="29">
        <f t="shared" si="6"/>
        <v>45</v>
      </c>
      <c r="E234" s="28"/>
      <c r="F234" s="28"/>
      <c r="G234" s="29">
        <f t="shared" si="8"/>
        <v>45</v>
      </c>
      <c r="H234" s="30">
        <v>200</v>
      </c>
      <c r="I234" s="19">
        <f t="shared" si="7"/>
        <v>9000</v>
      </c>
    </row>
    <row r="235" spans="1:9" x14ac:dyDescent="0.3">
      <c r="A235" s="28" t="s">
        <v>316</v>
      </c>
      <c r="B235" s="28">
        <v>9</v>
      </c>
      <c r="C235" s="28"/>
      <c r="D235" s="29">
        <f t="shared" si="6"/>
        <v>9</v>
      </c>
      <c r="E235" s="28"/>
      <c r="F235" s="28"/>
      <c r="G235" s="29">
        <f t="shared" si="8"/>
        <v>9</v>
      </c>
      <c r="H235" s="32">
        <v>400</v>
      </c>
      <c r="I235" s="19">
        <f t="shared" si="7"/>
        <v>3600</v>
      </c>
    </row>
    <row r="236" spans="1:9" x14ac:dyDescent="0.3">
      <c r="A236" s="28" t="s">
        <v>77</v>
      </c>
      <c r="B236" s="28">
        <v>103</v>
      </c>
      <c r="C236" s="28">
        <v>20</v>
      </c>
      <c r="D236" s="29">
        <f t="shared" si="6"/>
        <v>123</v>
      </c>
      <c r="E236" s="28"/>
      <c r="F236" s="28">
        <v>93</v>
      </c>
      <c r="G236" s="29">
        <f t="shared" si="8"/>
        <v>30</v>
      </c>
      <c r="H236" s="31">
        <v>350</v>
      </c>
      <c r="I236" s="19">
        <f t="shared" si="7"/>
        <v>10500</v>
      </c>
    </row>
    <row r="237" spans="1:9" x14ac:dyDescent="0.3">
      <c r="A237" s="28" t="s">
        <v>80</v>
      </c>
      <c r="B237" s="28">
        <v>7</v>
      </c>
      <c r="C237" s="28">
        <v>30</v>
      </c>
      <c r="D237" s="29">
        <f t="shared" si="6"/>
        <v>37</v>
      </c>
      <c r="E237" s="28"/>
      <c r="F237" s="28">
        <v>28</v>
      </c>
      <c r="G237" s="29">
        <f t="shared" si="8"/>
        <v>9</v>
      </c>
      <c r="H237" s="31">
        <v>190</v>
      </c>
      <c r="I237" s="19">
        <f t="shared" si="7"/>
        <v>1710</v>
      </c>
    </row>
    <row r="238" spans="1:9" x14ac:dyDescent="0.3">
      <c r="A238" s="28"/>
      <c r="B238" s="28"/>
      <c r="C238" s="28"/>
      <c r="D238" s="29">
        <f t="shared" si="6"/>
        <v>0</v>
      </c>
      <c r="E238" s="28"/>
      <c r="F238" s="28"/>
      <c r="G238" s="29">
        <f t="shared" si="8"/>
        <v>0</v>
      </c>
      <c r="H238" s="31">
        <v>600</v>
      </c>
      <c r="I238" s="19">
        <f t="shared" si="7"/>
        <v>0</v>
      </c>
    </row>
    <row r="239" spans="1:9" x14ac:dyDescent="0.3">
      <c r="A239" s="28" t="s">
        <v>154</v>
      </c>
      <c r="B239" s="28"/>
      <c r="C239" s="28"/>
      <c r="D239" s="29">
        <f t="shared" si="6"/>
        <v>0</v>
      </c>
      <c r="E239" s="28"/>
      <c r="F239" s="28"/>
      <c r="G239" s="29">
        <f t="shared" si="8"/>
        <v>0</v>
      </c>
      <c r="H239" s="33">
        <v>500</v>
      </c>
      <c r="I239" s="19">
        <f t="shared" si="7"/>
        <v>0</v>
      </c>
    </row>
    <row r="240" spans="1:9" x14ac:dyDescent="0.3">
      <c r="A240" s="28" t="s">
        <v>155</v>
      </c>
      <c r="B240" s="28">
        <v>100</v>
      </c>
      <c r="C240" s="28"/>
      <c r="D240" s="29">
        <f t="shared" si="6"/>
        <v>100</v>
      </c>
      <c r="E240" s="28"/>
      <c r="F240" s="28">
        <v>80</v>
      </c>
      <c r="G240" s="29">
        <f t="shared" si="8"/>
        <v>20</v>
      </c>
      <c r="H240" s="33">
        <v>300</v>
      </c>
      <c r="I240" s="19">
        <f t="shared" si="7"/>
        <v>6000</v>
      </c>
    </row>
    <row r="241" spans="1:9" x14ac:dyDescent="0.3">
      <c r="A241" s="28" t="s">
        <v>171</v>
      </c>
      <c r="B241" s="28"/>
      <c r="C241" s="28">
        <v>250</v>
      </c>
      <c r="D241" s="29">
        <f t="shared" si="6"/>
        <v>250</v>
      </c>
      <c r="E241" s="28"/>
      <c r="F241" s="28">
        <v>200</v>
      </c>
      <c r="G241" s="29">
        <f t="shared" si="8"/>
        <v>50</v>
      </c>
      <c r="H241" s="33">
        <v>100</v>
      </c>
      <c r="I241" s="19">
        <f t="shared" si="7"/>
        <v>5000</v>
      </c>
    </row>
    <row r="242" spans="1:9" x14ac:dyDescent="0.3">
      <c r="A242" s="28" t="s">
        <v>172</v>
      </c>
      <c r="B242" s="28"/>
      <c r="C242" s="28"/>
      <c r="D242" s="29">
        <f t="shared" si="6"/>
        <v>0</v>
      </c>
      <c r="E242" s="28"/>
      <c r="F242" s="28"/>
      <c r="G242" s="29">
        <f t="shared" si="8"/>
        <v>0</v>
      </c>
      <c r="H242" s="33">
        <v>100</v>
      </c>
      <c r="I242" s="19"/>
    </row>
    <row r="243" spans="1:9" x14ac:dyDescent="0.3">
      <c r="A243" s="28" t="s">
        <v>173</v>
      </c>
      <c r="B243" s="28">
        <v>13</v>
      </c>
      <c r="C243" s="28">
        <v>50</v>
      </c>
      <c r="D243" s="29">
        <f t="shared" ref="D243:D330" si="9">B243+C243</f>
        <v>63</v>
      </c>
      <c r="E243" s="28"/>
      <c r="F243" s="28">
        <v>30</v>
      </c>
      <c r="G243" s="29">
        <f t="shared" si="8"/>
        <v>33</v>
      </c>
      <c r="H243" s="33">
        <v>300</v>
      </c>
      <c r="I243" s="19">
        <f t="shared" si="7"/>
        <v>9900</v>
      </c>
    </row>
    <row r="244" spans="1:9" x14ac:dyDescent="0.3">
      <c r="A244" s="28" t="s">
        <v>200</v>
      </c>
      <c r="B244" s="28"/>
      <c r="C244" s="28"/>
      <c r="D244" s="29">
        <f t="shared" si="9"/>
        <v>0</v>
      </c>
      <c r="E244" s="28"/>
      <c r="F244" s="28"/>
      <c r="G244" s="29">
        <f t="shared" si="8"/>
        <v>0</v>
      </c>
      <c r="H244" s="33">
        <v>850</v>
      </c>
      <c r="I244" s="19">
        <f t="shared" si="7"/>
        <v>0</v>
      </c>
    </row>
    <row r="245" spans="1:9" x14ac:dyDescent="0.3">
      <c r="A245" s="28" t="s">
        <v>370</v>
      </c>
      <c r="B245" s="28"/>
      <c r="C245" s="28"/>
      <c r="D245" s="29">
        <f t="shared" si="9"/>
        <v>0</v>
      </c>
      <c r="E245" s="28"/>
      <c r="F245" s="28"/>
      <c r="G245" s="29">
        <f t="shared" si="8"/>
        <v>0</v>
      </c>
      <c r="H245" s="33">
        <v>1200</v>
      </c>
      <c r="I245" s="19">
        <f t="shared" si="7"/>
        <v>0</v>
      </c>
    </row>
    <row r="246" spans="1:9" x14ac:dyDescent="0.3">
      <c r="A246" s="28" t="s">
        <v>75</v>
      </c>
      <c r="B246" s="28">
        <v>10</v>
      </c>
      <c r="C246" s="28"/>
      <c r="D246" s="29">
        <f t="shared" si="9"/>
        <v>10</v>
      </c>
      <c r="E246" s="28"/>
      <c r="F246" s="28">
        <v>4</v>
      </c>
      <c r="G246" s="29">
        <f t="shared" si="8"/>
        <v>6</v>
      </c>
      <c r="H246" s="30">
        <v>100</v>
      </c>
      <c r="I246" s="19">
        <f t="shared" si="7"/>
        <v>600</v>
      </c>
    </row>
    <row r="247" spans="1:9" x14ac:dyDescent="0.3">
      <c r="A247" s="28" t="s">
        <v>307</v>
      </c>
      <c r="B247" s="28"/>
      <c r="C247" s="28"/>
      <c r="D247" s="29">
        <f t="shared" si="9"/>
        <v>0</v>
      </c>
      <c r="E247" s="28"/>
      <c r="F247" s="28"/>
      <c r="G247" s="29">
        <f t="shared" si="8"/>
        <v>0</v>
      </c>
      <c r="H247" s="30">
        <v>850</v>
      </c>
      <c r="I247" s="19">
        <f t="shared" si="7"/>
        <v>0</v>
      </c>
    </row>
    <row r="248" spans="1:9" x14ac:dyDescent="0.3">
      <c r="A248" s="28" t="s">
        <v>279</v>
      </c>
      <c r="B248" s="28"/>
      <c r="C248" s="28"/>
      <c r="D248" s="29">
        <f t="shared" si="9"/>
        <v>0</v>
      </c>
      <c r="E248" s="28"/>
      <c r="F248" s="28"/>
      <c r="G248" s="29">
        <f t="shared" si="8"/>
        <v>0</v>
      </c>
      <c r="H248" s="30">
        <v>650</v>
      </c>
      <c r="I248" s="19">
        <f t="shared" si="7"/>
        <v>0</v>
      </c>
    </row>
    <row r="249" spans="1:9" x14ac:dyDescent="0.3">
      <c r="A249" s="28" t="s">
        <v>222</v>
      </c>
      <c r="B249" s="28">
        <v>2</v>
      </c>
      <c r="C249" s="28">
        <v>20</v>
      </c>
      <c r="D249" s="29">
        <f>B249+C249</f>
        <v>22</v>
      </c>
      <c r="E249" s="28"/>
      <c r="F249" s="28">
        <v>15</v>
      </c>
      <c r="G249" s="29">
        <f t="shared" si="8"/>
        <v>7</v>
      </c>
      <c r="H249" s="30">
        <v>900</v>
      </c>
      <c r="I249" s="19">
        <f t="shared" si="7"/>
        <v>6300</v>
      </c>
    </row>
    <row r="250" spans="1:9" x14ac:dyDescent="0.3">
      <c r="A250" s="28" t="s">
        <v>371</v>
      </c>
      <c r="B250" s="28"/>
      <c r="C250" s="28"/>
      <c r="D250" s="29">
        <f t="shared" si="9"/>
        <v>0</v>
      </c>
      <c r="E250" s="28"/>
      <c r="F250" s="28"/>
      <c r="G250" s="29">
        <f t="shared" si="8"/>
        <v>0</v>
      </c>
      <c r="H250" s="30">
        <v>210</v>
      </c>
      <c r="I250" s="19">
        <f t="shared" si="7"/>
        <v>0</v>
      </c>
    </row>
    <row r="251" spans="1:9" x14ac:dyDescent="0.3">
      <c r="A251" s="28" t="s">
        <v>188</v>
      </c>
      <c r="B251" s="28">
        <v>95</v>
      </c>
      <c r="C251" s="28"/>
      <c r="D251" s="29">
        <f t="shared" si="9"/>
        <v>95</v>
      </c>
      <c r="E251" s="28"/>
      <c r="F251" s="28">
        <v>4</v>
      </c>
      <c r="G251" s="29">
        <f t="shared" si="8"/>
        <v>91</v>
      </c>
      <c r="H251" s="30">
        <v>1400</v>
      </c>
      <c r="I251" s="19">
        <f t="shared" si="7"/>
        <v>127400</v>
      </c>
    </row>
    <row r="252" spans="1:9" x14ac:dyDescent="0.3">
      <c r="A252" s="28" t="s">
        <v>230</v>
      </c>
      <c r="B252" s="28">
        <v>5</v>
      </c>
      <c r="C252" s="28"/>
      <c r="D252" s="29">
        <f t="shared" si="9"/>
        <v>5</v>
      </c>
      <c r="E252" s="28"/>
      <c r="F252" s="28">
        <v>2</v>
      </c>
      <c r="G252" s="29">
        <f t="shared" si="8"/>
        <v>3</v>
      </c>
      <c r="H252" s="30">
        <v>800</v>
      </c>
      <c r="I252" s="19">
        <f t="shared" si="7"/>
        <v>2400</v>
      </c>
    </row>
    <row r="253" spans="1:9" x14ac:dyDescent="0.3">
      <c r="A253" s="28" t="s">
        <v>245</v>
      </c>
      <c r="B253" s="28"/>
      <c r="C253" s="28"/>
      <c r="D253" s="29">
        <f t="shared" si="9"/>
        <v>0</v>
      </c>
      <c r="E253" s="28"/>
      <c r="F253" s="28"/>
      <c r="G253" s="29">
        <f t="shared" si="8"/>
        <v>0</v>
      </c>
      <c r="H253" s="30">
        <v>750</v>
      </c>
      <c r="I253" s="19">
        <f t="shared" si="7"/>
        <v>0</v>
      </c>
    </row>
    <row r="254" spans="1:9" x14ac:dyDescent="0.3">
      <c r="A254" s="28" t="s">
        <v>250</v>
      </c>
      <c r="B254" s="28"/>
      <c r="C254" s="28"/>
      <c r="D254" s="29">
        <f t="shared" si="9"/>
        <v>0</v>
      </c>
      <c r="E254" s="28"/>
      <c r="F254" s="28"/>
      <c r="G254" s="29"/>
      <c r="H254" s="30">
        <v>1300</v>
      </c>
      <c r="I254" s="19">
        <f t="shared" si="7"/>
        <v>0</v>
      </c>
    </row>
    <row r="255" spans="1:9" x14ac:dyDescent="0.3">
      <c r="A255" s="28" t="s">
        <v>251</v>
      </c>
      <c r="B255" s="28"/>
      <c r="C255" s="28"/>
      <c r="D255" s="29">
        <f t="shared" si="9"/>
        <v>0</v>
      </c>
      <c r="E255" s="28"/>
      <c r="F255" s="28"/>
      <c r="G255" s="29">
        <f t="shared" si="8"/>
        <v>0</v>
      </c>
      <c r="H255" s="30">
        <v>850</v>
      </c>
      <c r="I255" s="19">
        <f t="shared" si="7"/>
        <v>0</v>
      </c>
    </row>
    <row r="256" spans="1:9" x14ac:dyDescent="0.3">
      <c r="A256" s="28" t="s">
        <v>372</v>
      </c>
      <c r="B256" s="28"/>
      <c r="C256" s="28"/>
      <c r="D256" s="29">
        <f t="shared" si="9"/>
        <v>0</v>
      </c>
      <c r="E256" s="28"/>
      <c r="F256" s="28"/>
      <c r="G256" s="29">
        <f t="shared" si="8"/>
        <v>0</v>
      </c>
      <c r="H256" s="30">
        <v>520</v>
      </c>
      <c r="I256" s="19">
        <f t="shared" si="7"/>
        <v>0</v>
      </c>
    </row>
    <row r="257" spans="1:9" x14ac:dyDescent="0.3">
      <c r="A257" s="28" t="s">
        <v>118</v>
      </c>
      <c r="B257" s="28"/>
      <c r="C257" s="28"/>
      <c r="D257" s="29">
        <f t="shared" si="9"/>
        <v>0</v>
      </c>
      <c r="E257" s="28"/>
      <c r="F257" s="28"/>
      <c r="G257" s="29">
        <f t="shared" si="8"/>
        <v>0</v>
      </c>
      <c r="H257" s="30">
        <v>500</v>
      </c>
      <c r="I257" s="19">
        <f t="shared" si="7"/>
        <v>0</v>
      </c>
    </row>
    <row r="258" spans="1:9" x14ac:dyDescent="0.3">
      <c r="A258" s="28" t="s">
        <v>118</v>
      </c>
      <c r="B258" s="28"/>
      <c r="C258" s="28"/>
      <c r="D258" s="29">
        <f t="shared" si="9"/>
        <v>0</v>
      </c>
      <c r="E258" s="28"/>
      <c r="F258" s="28"/>
      <c r="G258" s="29">
        <f t="shared" si="8"/>
        <v>0</v>
      </c>
      <c r="H258" s="30">
        <v>800</v>
      </c>
      <c r="I258" s="19">
        <f t="shared" si="7"/>
        <v>0</v>
      </c>
    </row>
    <row r="259" spans="1:9" x14ac:dyDescent="0.3">
      <c r="A259" s="28" t="s">
        <v>321</v>
      </c>
      <c r="B259" s="28"/>
      <c r="C259" s="28"/>
      <c r="D259" s="29">
        <f t="shared" si="9"/>
        <v>0</v>
      </c>
      <c r="E259" s="28"/>
      <c r="F259" s="28"/>
      <c r="G259" s="29">
        <f t="shared" si="8"/>
        <v>0</v>
      </c>
      <c r="H259" s="30">
        <v>550</v>
      </c>
      <c r="I259" s="19">
        <f t="shared" si="7"/>
        <v>0</v>
      </c>
    </row>
    <row r="260" spans="1:9" x14ac:dyDescent="0.3">
      <c r="A260" s="28" t="s">
        <v>413</v>
      </c>
      <c r="B260" s="28">
        <v>15</v>
      </c>
      <c r="C260" s="28"/>
      <c r="D260" s="29">
        <f t="shared" si="9"/>
        <v>15</v>
      </c>
      <c r="E260" s="28"/>
      <c r="F260" s="28">
        <v>10</v>
      </c>
      <c r="G260" s="29">
        <f t="shared" si="8"/>
        <v>5</v>
      </c>
      <c r="H260" s="30">
        <v>350</v>
      </c>
      <c r="I260" s="19">
        <f t="shared" si="7"/>
        <v>1750</v>
      </c>
    </row>
    <row r="261" spans="1:9" x14ac:dyDescent="0.3">
      <c r="A261" s="28" t="s">
        <v>339</v>
      </c>
      <c r="B261" s="28"/>
      <c r="C261" s="28"/>
      <c r="D261" s="29">
        <f t="shared" si="9"/>
        <v>0</v>
      </c>
      <c r="E261" s="28"/>
      <c r="F261" s="28"/>
      <c r="G261" s="29">
        <f t="shared" si="8"/>
        <v>0</v>
      </c>
      <c r="H261" s="30">
        <v>400</v>
      </c>
      <c r="I261" s="19">
        <f t="shared" si="7"/>
        <v>0</v>
      </c>
    </row>
    <row r="262" spans="1:9" x14ac:dyDescent="0.3">
      <c r="A262" s="24" t="s">
        <v>3</v>
      </c>
      <c r="B262" s="28"/>
      <c r="C262" s="28"/>
      <c r="D262" s="29">
        <f t="shared" si="9"/>
        <v>0</v>
      </c>
      <c r="E262" s="28"/>
      <c r="F262" s="28"/>
      <c r="G262" s="29">
        <f t="shared" si="8"/>
        <v>0</v>
      </c>
      <c r="H262" s="30"/>
      <c r="I262" s="19">
        <f t="shared" si="7"/>
        <v>0</v>
      </c>
    </row>
    <row r="263" spans="1:9" x14ac:dyDescent="0.3">
      <c r="A263" s="28" t="s">
        <v>55</v>
      </c>
      <c r="B263" s="28">
        <v>130</v>
      </c>
      <c r="C263" s="28"/>
      <c r="D263" s="29">
        <f t="shared" si="9"/>
        <v>130</v>
      </c>
      <c r="E263" s="28"/>
      <c r="F263" s="28">
        <v>59</v>
      </c>
      <c r="G263" s="29">
        <f t="shared" si="8"/>
        <v>71</v>
      </c>
      <c r="H263" s="30">
        <v>500</v>
      </c>
      <c r="I263" s="19">
        <f t="shared" si="7"/>
        <v>35500</v>
      </c>
    </row>
    <row r="264" spans="1:9" x14ac:dyDescent="0.3">
      <c r="A264" s="28" t="s">
        <v>360</v>
      </c>
      <c r="B264" s="28">
        <v>41</v>
      </c>
      <c r="C264" s="28"/>
      <c r="D264" s="29">
        <f t="shared" si="9"/>
        <v>41</v>
      </c>
      <c r="E264" s="28"/>
      <c r="F264" s="28">
        <v>32</v>
      </c>
      <c r="G264" s="29">
        <f t="shared" si="8"/>
        <v>9</v>
      </c>
      <c r="H264" s="30">
        <v>600</v>
      </c>
      <c r="I264" s="19">
        <f t="shared" si="7"/>
        <v>5400</v>
      </c>
    </row>
    <row r="265" spans="1:9" x14ac:dyDescent="0.3">
      <c r="A265" s="28" t="s">
        <v>56</v>
      </c>
      <c r="B265" s="28">
        <v>54</v>
      </c>
      <c r="C265" s="28">
        <v>100</v>
      </c>
      <c r="D265" s="29">
        <f t="shared" si="9"/>
        <v>154</v>
      </c>
      <c r="E265" s="28"/>
      <c r="F265" s="28">
        <v>55</v>
      </c>
      <c r="G265" s="29">
        <f t="shared" si="8"/>
        <v>99</v>
      </c>
      <c r="H265" s="30">
        <v>500</v>
      </c>
      <c r="I265" s="19">
        <f t="shared" si="7"/>
        <v>49500</v>
      </c>
    </row>
    <row r="266" spans="1:9" x14ac:dyDescent="0.3">
      <c r="A266" s="28" t="s">
        <v>57</v>
      </c>
      <c r="B266" s="28">
        <v>80</v>
      </c>
      <c r="C266" s="28"/>
      <c r="D266" s="29">
        <f t="shared" si="9"/>
        <v>80</v>
      </c>
      <c r="E266" s="28"/>
      <c r="F266" s="28"/>
      <c r="G266" s="29">
        <f t="shared" si="8"/>
        <v>80</v>
      </c>
      <c r="H266" s="31">
        <v>700</v>
      </c>
      <c r="I266" s="19">
        <f t="shared" si="7"/>
        <v>56000</v>
      </c>
    </row>
    <row r="267" spans="1:9" x14ac:dyDescent="0.3">
      <c r="A267" s="28" t="s">
        <v>293</v>
      </c>
      <c r="B267" s="28">
        <v>17</v>
      </c>
      <c r="C267" s="28">
        <v>40</v>
      </c>
      <c r="D267" s="29">
        <f t="shared" si="9"/>
        <v>57</v>
      </c>
      <c r="E267" s="28"/>
      <c r="F267" s="28">
        <v>30</v>
      </c>
      <c r="G267" s="29">
        <f t="shared" si="8"/>
        <v>27</v>
      </c>
      <c r="H267" s="31">
        <v>700</v>
      </c>
      <c r="I267" s="19">
        <f t="shared" si="7"/>
        <v>18900</v>
      </c>
    </row>
    <row r="268" spans="1:9" x14ac:dyDescent="0.3">
      <c r="A268" s="28" t="s">
        <v>294</v>
      </c>
      <c r="B268" s="28">
        <v>13</v>
      </c>
      <c r="C268" s="28">
        <v>10</v>
      </c>
      <c r="D268" s="29">
        <f t="shared" si="9"/>
        <v>23</v>
      </c>
      <c r="E268" s="28"/>
      <c r="F268" s="28">
        <v>16</v>
      </c>
      <c r="G268" s="29">
        <f t="shared" si="8"/>
        <v>7</v>
      </c>
      <c r="H268" s="31">
        <v>700</v>
      </c>
      <c r="I268" s="19">
        <f t="shared" si="7"/>
        <v>4900</v>
      </c>
    </row>
    <row r="269" spans="1:9" x14ac:dyDescent="0.3">
      <c r="A269" s="28" t="s">
        <v>58</v>
      </c>
      <c r="B269" s="28">
        <v>10</v>
      </c>
      <c r="C269" s="28">
        <v>100</v>
      </c>
      <c r="D269" s="29">
        <f t="shared" si="9"/>
        <v>110</v>
      </c>
      <c r="E269" s="28"/>
      <c r="F269" s="28">
        <v>109</v>
      </c>
      <c r="G269" s="29">
        <f t="shared" si="8"/>
        <v>1</v>
      </c>
      <c r="H269" s="31">
        <v>400</v>
      </c>
      <c r="I269" s="19">
        <f t="shared" si="7"/>
        <v>400</v>
      </c>
    </row>
    <row r="270" spans="1:9" x14ac:dyDescent="0.3">
      <c r="A270" s="28" t="s">
        <v>59</v>
      </c>
      <c r="B270" s="28">
        <v>26</v>
      </c>
      <c r="C270" s="28">
        <v>100</v>
      </c>
      <c r="D270" s="29">
        <f t="shared" si="9"/>
        <v>126</v>
      </c>
      <c r="E270" s="28"/>
      <c r="F270" s="28">
        <v>72</v>
      </c>
      <c r="G270" s="29">
        <f t="shared" si="8"/>
        <v>54</v>
      </c>
      <c r="H270" s="31">
        <v>400</v>
      </c>
      <c r="I270" s="19">
        <f t="shared" si="7"/>
        <v>21600</v>
      </c>
    </row>
    <row r="271" spans="1:9" x14ac:dyDescent="0.3">
      <c r="A271" s="28" t="s">
        <v>60</v>
      </c>
      <c r="B271" s="28">
        <v>15</v>
      </c>
      <c r="C271" s="28">
        <v>20</v>
      </c>
      <c r="D271" s="29">
        <f t="shared" si="9"/>
        <v>35</v>
      </c>
      <c r="E271" s="28"/>
      <c r="F271" s="28">
        <v>24</v>
      </c>
      <c r="G271" s="29">
        <f t="shared" si="8"/>
        <v>11</v>
      </c>
      <c r="H271" s="30">
        <v>600</v>
      </c>
      <c r="I271" s="19">
        <f t="shared" si="7"/>
        <v>6600</v>
      </c>
    </row>
    <row r="272" spans="1:9" x14ac:dyDescent="0.3">
      <c r="A272" s="28" t="s">
        <v>61</v>
      </c>
      <c r="B272" s="28">
        <v>7</v>
      </c>
      <c r="C272" s="28">
        <v>10</v>
      </c>
      <c r="D272" s="29">
        <f t="shared" si="9"/>
        <v>17</v>
      </c>
      <c r="E272" s="28"/>
      <c r="F272" s="28">
        <v>14</v>
      </c>
      <c r="G272" s="29">
        <f t="shared" si="8"/>
        <v>3</v>
      </c>
      <c r="H272" s="30">
        <v>740</v>
      </c>
      <c r="I272" s="19">
        <f t="shared" si="7"/>
        <v>2220</v>
      </c>
    </row>
    <row r="273" spans="1:9" x14ac:dyDescent="0.3">
      <c r="A273" s="28" t="s">
        <v>62</v>
      </c>
      <c r="B273" s="28">
        <v>20</v>
      </c>
      <c r="C273" s="28"/>
      <c r="D273" s="29">
        <f t="shared" si="9"/>
        <v>20</v>
      </c>
      <c r="E273" s="28"/>
      <c r="F273" s="28">
        <v>15</v>
      </c>
      <c r="G273" s="29">
        <f t="shared" si="8"/>
        <v>5</v>
      </c>
      <c r="H273" s="30">
        <v>700</v>
      </c>
      <c r="I273" s="19">
        <f t="shared" si="7"/>
        <v>3500</v>
      </c>
    </row>
    <row r="274" spans="1:9" x14ac:dyDescent="0.3">
      <c r="A274" s="28" t="s">
        <v>68</v>
      </c>
      <c r="B274" s="28">
        <v>27</v>
      </c>
      <c r="C274" s="28"/>
      <c r="D274" s="29">
        <f t="shared" si="9"/>
        <v>27</v>
      </c>
      <c r="E274" s="28"/>
      <c r="F274" s="28">
        <v>16</v>
      </c>
      <c r="G274" s="29">
        <f t="shared" si="8"/>
        <v>11</v>
      </c>
      <c r="H274" s="30">
        <v>700</v>
      </c>
      <c r="I274" s="19">
        <f t="shared" si="7"/>
        <v>7700</v>
      </c>
    </row>
    <row r="275" spans="1:9" x14ac:dyDescent="0.3">
      <c r="A275" s="28" t="s">
        <v>324</v>
      </c>
      <c r="B275" s="28">
        <v>2</v>
      </c>
      <c r="C275" s="28"/>
      <c r="D275" s="29">
        <f t="shared" si="9"/>
        <v>2</v>
      </c>
      <c r="E275" s="28"/>
      <c r="F275" s="28">
        <v>2</v>
      </c>
      <c r="G275" s="29">
        <f t="shared" si="8"/>
        <v>0</v>
      </c>
      <c r="H275" s="30">
        <v>250</v>
      </c>
      <c r="I275" s="19">
        <f t="shared" si="7"/>
        <v>0</v>
      </c>
    </row>
    <row r="276" spans="1:9" x14ac:dyDescent="0.3">
      <c r="A276" s="28" t="s">
        <v>377</v>
      </c>
      <c r="B276" s="28">
        <v>40</v>
      </c>
      <c r="C276" s="28"/>
      <c r="D276" s="29">
        <f t="shared" si="9"/>
        <v>40</v>
      </c>
      <c r="E276" s="28"/>
      <c r="F276" s="28">
        <v>30</v>
      </c>
      <c r="G276" s="29">
        <f t="shared" si="8"/>
        <v>10</v>
      </c>
      <c r="H276" s="30">
        <v>450</v>
      </c>
      <c r="I276" s="19">
        <f t="shared" si="7"/>
        <v>4500</v>
      </c>
    </row>
    <row r="277" spans="1:9" x14ac:dyDescent="0.3">
      <c r="A277" s="28" t="s">
        <v>375</v>
      </c>
      <c r="B277" s="28"/>
      <c r="C277" s="28"/>
      <c r="D277" s="29">
        <f t="shared" si="9"/>
        <v>0</v>
      </c>
      <c r="E277" s="28"/>
      <c r="F277" s="28"/>
      <c r="G277" s="29">
        <f t="shared" si="8"/>
        <v>0</v>
      </c>
      <c r="H277" s="30">
        <v>20000</v>
      </c>
      <c r="I277" s="19">
        <f t="shared" si="7"/>
        <v>0</v>
      </c>
    </row>
    <row r="278" spans="1:9" x14ac:dyDescent="0.3">
      <c r="A278" s="28"/>
      <c r="B278" s="28"/>
      <c r="C278" s="28"/>
      <c r="D278" s="29"/>
      <c r="E278" s="28"/>
      <c r="F278" s="28"/>
      <c r="G278" s="29"/>
      <c r="H278" s="30"/>
      <c r="I278" s="19"/>
    </row>
    <row r="279" spans="1:9" x14ac:dyDescent="0.3">
      <c r="A279" s="24" t="s">
        <v>63</v>
      </c>
      <c r="B279" s="28"/>
      <c r="C279" s="28"/>
      <c r="D279" s="29"/>
      <c r="E279" s="28"/>
      <c r="F279" s="28"/>
      <c r="G279" s="29">
        <f t="shared" si="8"/>
        <v>0</v>
      </c>
      <c r="H279" s="30">
        <v>6000</v>
      </c>
      <c r="I279" s="19">
        <f t="shared" si="7"/>
        <v>0</v>
      </c>
    </row>
    <row r="280" spans="1:9" x14ac:dyDescent="0.3">
      <c r="A280" s="28" t="s">
        <v>64</v>
      </c>
      <c r="B280" s="28"/>
      <c r="C280" s="28"/>
      <c r="D280" s="29">
        <f t="shared" si="9"/>
        <v>0</v>
      </c>
      <c r="E280" s="28"/>
      <c r="F280" s="28"/>
      <c r="G280" s="29">
        <f t="shared" si="8"/>
        <v>0</v>
      </c>
      <c r="H280" s="30">
        <v>280</v>
      </c>
      <c r="I280" s="19">
        <f t="shared" si="7"/>
        <v>0</v>
      </c>
    </row>
    <row r="281" spans="1:9" x14ac:dyDescent="0.3">
      <c r="A281" s="28" t="s">
        <v>174</v>
      </c>
      <c r="B281" s="28"/>
      <c r="C281" s="28"/>
      <c r="D281" s="29">
        <f t="shared" si="9"/>
        <v>0</v>
      </c>
      <c r="E281" s="28"/>
      <c r="F281" s="28"/>
      <c r="G281" s="29">
        <f t="shared" si="8"/>
        <v>0</v>
      </c>
      <c r="H281" s="30">
        <v>2200</v>
      </c>
      <c r="I281" s="19">
        <f t="shared" si="7"/>
        <v>0</v>
      </c>
    </row>
    <row r="282" spans="1:9" x14ac:dyDescent="0.3">
      <c r="A282" s="28" t="s">
        <v>224</v>
      </c>
      <c r="B282" s="28"/>
      <c r="C282" s="28"/>
      <c r="D282" s="29">
        <f t="shared" si="9"/>
        <v>0</v>
      </c>
      <c r="E282" s="28"/>
      <c r="F282" s="28"/>
      <c r="G282" s="29">
        <f t="shared" si="8"/>
        <v>0</v>
      </c>
      <c r="H282" s="30">
        <v>1500</v>
      </c>
      <c r="I282" s="19">
        <f t="shared" si="7"/>
        <v>0</v>
      </c>
    </row>
    <row r="283" spans="1:9" x14ac:dyDescent="0.3">
      <c r="A283" s="28" t="s">
        <v>229</v>
      </c>
      <c r="B283" s="28"/>
      <c r="C283" s="28"/>
      <c r="D283" s="29">
        <f t="shared" si="9"/>
        <v>0</v>
      </c>
      <c r="E283" s="28"/>
      <c r="F283" s="28"/>
      <c r="G283" s="29">
        <f t="shared" si="8"/>
        <v>0</v>
      </c>
      <c r="H283" s="30"/>
      <c r="I283" s="19">
        <f t="shared" si="7"/>
        <v>0</v>
      </c>
    </row>
    <row r="284" spans="1:9" x14ac:dyDescent="0.3">
      <c r="A284" s="28" t="s">
        <v>225</v>
      </c>
      <c r="B284" s="28"/>
      <c r="C284" s="28"/>
      <c r="D284" s="29">
        <f t="shared" si="9"/>
        <v>0</v>
      </c>
      <c r="E284" s="28"/>
      <c r="F284" s="28"/>
      <c r="G284" s="29">
        <f t="shared" si="8"/>
        <v>0</v>
      </c>
      <c r="H284" s="30">
        <v>1000</v>
      </c>
      <c r="I284" s="19">
        <f t="shared" si="7"/>
        <v>0</v>
      </c>
    </row>
    <row r="285" spans="1:9" x14ac:dyDescent="0.3">
      <c r="A285" s="28" t="s">
        <v>243</v>
      </c>
      <c r="B285" s="28"/>
      <c r="C285" s="28"/>
      <c r="D285" s="29">
        <f t="shared" si="9"/>
        <v>0</v>
      </c>
      <c r="E285" s="28"/>
      <c r="F285" s="28"/>
      <c r="G285" s="29">
        <f t="shared" si="8"/>
        <v>0</v>
      </c>
      <c r="H285" s="30"/>
      <c r="I285" s="19">
        <f t="shared" si="7"/>
        <v>0</v>
      </c>
    </row>
    <row r="286" spans="1:9" x14ac:dyDescent="0.3">
      <c r="A286" s="28" t="s">
        <v>263</v>
      </c>
      <c r="B286" s="28"/>
      <c r="C286" s="28"/>
      <c r="D286" s="29">
        <f t="shared" si="9"/>
        <v>0</v>
      </c>
      <c r="E286" s="28"/>
      <c r="F286" s="28"/>
      <c r="G286" s="29">
        <f t="shared" si="8"/>
        <v>0</v>
      </c>
      <c r="H286" s="30">
        <v>200</v>
      </c>
      <c r="I286" s="19">
        <f t="shared" si="7"/>
        <v>0</v>
      </c>
    </row>
    <row r="287" spans="1:9" x14ac:dyDescent="0.3">
      <c r="A287" s="28" t="s">
        <v>295</v>
      </c>
      <c r="B287" s="28"/>
      <c r="C287" s="28"/>
      <c r="D287" s="29">
        <f t="shared" si="9"/>
        <v>0</v>
      </c>
      <c r="E287" s="28"/>
      <c r="F287" s="28"/>
      <c r="G287" s="29">
        <f t="shared" si="8"/>
        <v>0</v>
      </c>
      <c r="H287" s="30">
        <v>6500</v>
      </c>
      <c r="I287" s="19">
        <f t="shared" si="7"/>
        <v>0</v>
      </c>
    </row>
    <row r="288" spans="1:9" x14ac:dyDescent="0.3">
      <c r="A288" s="28" t="s">
        <v>319</v>
      </c>
      <c r="B288" s="28"/>
      <c r="C288" s="28"/>
      <c r="D288" s="29">
        <f t="shared" si="9"/>
        <v>0</v>
      </c>
      <c r="E288" s="28"/>
      <c r="F288" s="28"/>
      <c r="G288" s="29">
        <f t="shared" si="8"/>
        <v>0</v>
      </c>
      <c r="H288" s="30">
        <v>2000</v>
      </c>
      <c r="I288" s="19">
        <f t="shared" si="7"/>
        <v>0</v>
      </c>
    </row>
    <row r="289" spans="1:9" x14ac:dyDescent="0.3">
      <c r="A289" s="28" t="s">
        <v>111</v>
      </c>
      <c r="B289" s="28"/>
      <c r="C289" s="28"/>
      <c r="D289" s="29">
        <f t="shared" si="9"/>
        <v>0</v>
      </c>
      <c r="E289" s="28"/>
      <c r="F289" s="28"/>
      <c r="G289" s="29">
        <f t="shared" si="8"/>
        <v>0</v>
      </c>
      <c r="H289" s="30">
        <v>700</v>
      </c>
      <c r="I289" s="19">
        <f t="shared" si="7"/>
        <v>0</v>
      </c>
    </row>
    <row r="290" spans="1:9" x14ac:dyDescent="0.3">
      <c r="A290" s="28" t="s">
        <v>296</v>
      </c>
      <c r="B290" s="28"/>
      <c r="C290" s="28"/>
      <c r="D290" s="29">
        <f t="shared" si="9"/>
        <v>0</v>
      </c>
      <c r="E290" s="28"/>
      <c r="F290" s="28"/>
      <c r="G290" s="29">
        <f t="shared" si="8"/>
        <v>0</v>
      </c>
      <c r="H290" s="30">
        <v>6000</v>
      </c>
      <c r="I290" s="19">
        <f t="shared" si="7"/>
        <v>0</v>
      </c>
    </row>
    <row r="291" spans="1:9" x14ac:dyDescent="0.3">
      <c r="A291" s="28" t="s">
        <v>373</v>
      </c>
      <c r="B291" s="28"/>
      <c r="C291" s="28"/>
      <c r="D291" s="29">
        <f t="shared" si="9"/>
        <v>0</v>
      </c>
      <c r="E291" s="28"/>
      <c r="F291" s="28"/>
      <c r="G291" s="29">
        <f t="shared" si="8"/>
        <v>0</v>
      </c>
      <c r="H291" s="30">
        <v>65</v>
      </c>
      <c r="I291" s="19">
        <f t="shared" si="7"/>
        <v>0</v>
      </c>
    </row>
    <row r="292" spans="1:9" x14ac:dyDescent="0.3">
      <c r="A292" s="28" t="s">
        <v>376</v>
      </c>
      <c r="B292" s="28"/>
      <c r="C292" s="28"/>
      <c r="D292" s="29">
        <f t="shared" si="9"/>
        <v>0</v>
      </c>
      <c r="E292" s="28"/>
      <c r="F292" s="28"/>
      <c r="G292" s="29">
        <f t="shared" si="8"/>
        <v>0</v>
      </c>
      <c r="H292" s="30">
        <v>38000</v>
      </c>
      <c r="I292" s="19">
        <f t="shared" ref="I292:I375" si="10">G292*H292</f>
        <v>0</v>
      </c>
    </row>
    <row r="293" spans="1:9" x14ac:dyDescent="0.3">
      <c r="A293" s="28" t="s">
        <v>379</v>
      </c>
      <c r="B293" s="28"/>
      <c r="C293" s="28"/>
      <c r="D293" s="29">
        <f t="shared" si="9"/>
        <v>0</v>
      </c>
      <c r="E293" s="28"/>
      <c r="F293" s="28"/>
      <c r="G293" s="29">
        <f t="shared" si="8"/>
        <v>0</v>
      </c>
      <c r="H293" s="30">
        <v>800</v>
      </c>
      <c r="I293" s="19">
        <f t="shared" si="10"/>
        <v>0</v>
      </c>
    </row>
    <row r="294" spans="1:9" x14ac:dyDescent="0.3">
      <c r="A294" s="28" t="s">
        <v>374</v>
      </c>
      <c r="B294" s="28"/>
      <c r="C294" s="28"/>
      <c r="D294" s="29">
        <f t="shared" si="9"/>
        <v>0</v>
      </c>
      <c r="E294" s="28"/>
      <c r="F294" s="28"/>
      <c r="G294" s="29">
        <f t="shared" si="8"/>
        <v>0</v>
      </c>
      <c r="H294" s="30">
        <v>220</v>
      </c>
      <c r="I294" s="19">
        <f t="shared" si="10"/>
        <v>0</v>
      </c>
    </row>
    <row r="295" spans="1:9" x14ac:dyDescent="0.3">
      <c r="A295" s="28" t="s">
        <v>378</v>
      </c>
      <c r="B295" s="28"/>
      <c r="C295" s="28"/>
      <c r="D295" s="29">
        <f t="shared" si="9"/>
        <v>0</v>
      </c>
      <c r="E295" s="29"/>
      <c r="F295" s="28"/>
      <c r="G295" s="29">
        <f t="shared" si="8"/>
        <v>0</v>
      </c>
      <c r="H295" s="30">
        <v>1900</v>
      </c>
      <c r="I295" s="19">
        <f t="shared" si="10"/>
        <v>0</v>
      </c>
    </row>
    <row r="296" spans="1:9" x14ac:dyDescent="0.3">
      <c r="A296" s="28" t="s">
        <v>380</v>
      </c>
      <c r="B296" s="28"/>
      <c r="C296" s="28"/>
      <c r="D296" s="29">
        <f t="shared" si="9"/>
        <v>0</v>
      </c>
      <c r="E296" s="29"/>
      <c r="F296" s="28"/>
      <c r="G296" s="29">
        <f t="shared" si="8"/>
        <v>0</v>
      </c>
      <c r="H296" s="30">
        <v>3000</v>
      </c>
      <c r="I296" s="19">
        <f t="shared" si="10"/>
        <v>0</v>
      </c>
    </row>
    <row r="297" spans="1:9" x14ac:dyDescent="0.3">
      <c r="A297" s="28" t="s">
        <v>381</v>
      </c>
      <c r="B297" s="28"/>
      <c r="C297" s="28"/>
      <c r="D297" s="29">
        <f t="shared" si="9"/>
        <v>0</v>
      </c>
      <c r="E297" s="29"/>
      <c r="F297" s="28"/>
      <c r="G297" s="29">
        <f t="shared" si="8"/>
        <v>0</v>
      </c>
      <c r="H297" s="30">
        <v>3000</v>
      </c>
      <c r="I297" s="19">
        <f t="shared" si="10"/>
        <v>0</v>
      </c>
    </row>
    <row r="298" spans="1:9" x14ac:dyDescent="0.3">
      <c r="A298" s="28" t="s">
        <v>385</v>
      </c>
      <c r="B298" s="28"/>
      <c r="C298" s="28"/>
      <c r="D298" s="29">
        <f t="shared" si="9"/>
        <v>0</v>
      </c>
      <c r="E298" s="29"/>
      <c r="F298" s="28"/>
      <c r="G298" s="29">
        <f t="shared" si="8"/>
        <v>0</v>
      </c>
      <c r="H298" s="30">
        <v>3000</v>
      </c>
      <c r="I298" s="19">
        <f t="shared" si="10"/>
        <v>0</v>
      </c>
    </row>
    <row r="299" spans="1:9" x14ac:dyDescent="0.3">
      <c r="A299" s="28" t="s">
        <v>382</v>
      </c>
      <c r="B299" s="28"/>
      <c r="C299" s="28"/>
      <c r="D299" s="29">
        <f t="shared" si="9"/>
        <v>0</v>
      </c>
      <c r="E299" s="29"/>
      <c r="F299" s="28"/>
      <c r="G299" s="29">
        <f t="shared" si="8"/>
        <v>0</v>
      </c>
      <c r="H299" s="30">
        <v>4000</v>
      </c>
      <c r="I299" s="19">
        <f t="shared" si="10"/>
        <v>0</v>
      </c>
    </row>
    <row r="300" spans="1:9" x14ac:dyDescent="0.3">
      <c r="A300" s="28" t="s">
        <v>383</v>
      </c>
      <c r="B300" s="28"/>
      <c r="C300" s="28"/>
      <c r="D300" s="29">
        <f t="shared" si="9"/>
        <v>0</v>
      </c>
      <c r="E300" s="29"/>
      <c r="F300" s="28"/>
      <c r="G300" s="29">
        <f t="shared" si="8"/>
        <v>0</v>
      </c>
      <c r="H300" s="30">
        <v>13000</v>
      </c>
      <c r="I300" s="19">
        <f t="shared" si="10"/>
        <v>0</v>
      </c>
    </row>
    <row r="301" spans="1:9" x14ac:dyDescent="0.3">
      <c r="A301" s="28" t="s">
        <v>384</v>
      </c>
      <c r="B301" s="28"/>
      <c r="C301" s="28"/>
      <c r="D301" s="29">
        <f t="shared" si="9"/>
        <v>0</v>
      </c>
      <c r="E301" s="29"/>
      <c r="F301" s="28"/>
      <c r="G301" s="29">
        <f t="shared" si="8"/>
        <v>0</v>
      </c>
      <c r="H301" s="30">
        <v>2000</v>
      </c>
      <c r="I301" s="19">
        <f t="shared" si="10"/>
        <v>0</v>
      </c>
    </row>
    <row r="302" spans="1:9" x14ac:dyDescent="0.3">
      <c r="A302" s="28" t="s">
        <v>386</v>
      </c>
      <c r="B302" s="28"/>
      <c r="C302" s="28"/>
      <c r="D302" s="29">
        <f t="shared" si="9"/>
        <v>0</v>
      </c>
      <c r="E302" s="29"/>
      <c r="F302" s="28"/>
      <c r="G302" s="29">
        <f t="shared" si="8"/>
        <v>0</v>
      </c>
      <c r="H302" s="30">
        <v>800</v>
      </c>
      <c r="I302" s="19">
        <f t="shared" si="10"/>
        <v>0</v>
      </c>
    </row>
    <row r="303" spans="1:9" x14ac:dyDescent="0.3">
      <c r="A303" s="28" t="s">
        <v>387</v>
      </c>
      <c r="B303" s="28"/>
      <c r="C303" s="28"/>
      <c r="D303" s="29">
        <f t="shared" si="9"/>
        <v>0</v>
      </c>
      <c r="E303" s="29"/>
      <c r="F303" s="28"/>
      <c r="G303" s="29">
        <f t="shared" si="8"/>
        <v>0</v>
      </c>
      <c r="H303" s="30">
        <v>1400</v>
      </c>
      <c r="I303" s="19">
        <f t="shared" si="10"/>
        <v>0</v>
      </c>
    </row>
    <row r="304" spans="1:9" x14ac:dyDescent="0.3">
      <c r="A304" s="28" t="s">
        <v>411</v>
      </c>
      <c r="B304" s="28"/>
      <c r="C304" s="28"/>
      <c r="D304" s="29">
        <f t="shared" si="9"/>
        <v>0</v>
      </c>
      <c r="E304" s="29"/>
      <c r="F304" s="28"/>
      <c r="G304" s="29">
        <f t="shared" si="8"/>
        <v>0</v>
      </c>
      <c r="H304" s="30">
        <v>1000</v>
      </c>
      <c r="I304" s="19">
        <f t="shared" si="10"/>
        <v>0</v>
      </c>
    </row>
    <row r="305" spans="1:9" x14ac:dyDescent="0.3">
      <c r="A305" s="28"/>
      <c r="B305" s="28"/>
      <c r="C305" s="28"/>
      <c r="D305" s="29">
        <f t="shared" si="9"/>
        <v>0</v>
      </c>
      <c r="E305" s="29"/>
      <c r="F305" s="28"/>
      <c r="G305" s="29">
        <f t="shared" si="8"/>
        <v>0</v>
      </c>
      <c r="H305" s="30"/>
      <c r="I305" s="19"/>
    </row>
    <row r="306" spans="1:9" x14ac:dyDescent="0.3">
      <c r="A306" s="28" t="s">
        <v>388</v>
      </c>
      <c r="B306" s="28"/>
      <c r="C306" s="28"/>
      <c r="D306" s="29">
        <f t="shared" si="9"/>
        <v>0</v>
      </c>
      <c r="E306" s="29"/>
      <c r="F306" s="28"/>
      <c r="G306" s="29">
        <f t="shared" si="8"/>
        <v>0</v>
      </c>
      <c r="H306" s="30">
        <v>3500</v>
      </c>
      <c r="I306" s="19">
        <f t="shared" si="10"/>
        <v>0</v>
      </c>
    </row>
    <row r="307" spans="1:9" x14ac:dyDescent="0.3">
      <c r="A307" s="28" t="s">
        <v>408</v>
      </c>
      <c r="B307" s="28"/>
      <c r="C307" s="28"/>
      <c r="D307" s="29">
        <f t="shared" si="9"/>
        <v>0</v>
      </c>
      <c r="E307" s="29"/>
      <c r="F307" s="28"/>
      <c r="G307" s="29">
        <f t="shared" si="8"/>
        <v>0</v>
      </c>
      <c r="H307" s="30">
        <v>800</v>
      </c>
      <c r="I307" s="19">
        <f t="shared" si="10"/>
        <v>0</v>
      </c>
    </row>
    <row r="308" spans="1:9" x14ac:dyDescent="0.3">
      <c r="A308" s="28" t="s">
        <v>409</v>
      </c>
      <c r="B308" s="28"/>
      <c r="C308" s="28"/>
      <c r="D308" s="29">
        <f t="shared" si="9"/>
        <v>0</v>
      </c>
      <c r="E308" s="29"/>
      <c r="F308" s="28"/>
      <c r="G308" s="29">
        <f t="shared" si="8"/>
        <v>0</v>
      </c>
      <c r="H308" s="30">
        <v>1500</v>
      </c>
      <c r="I308" s="19">
        <f t="shared" si="10"/>
        <v>0</v>
      </c>
    </row>
    <row r="309" spans="1:9" x14ac:dyDescent="0.3">
      <c r="A309" s="28" t="s">
        <v>410</v>
      </c>
      <c r="B309" s="28"/>
      <c r="C309" s="28"/>
      <c r="D309" s="29">
        <f t="shared" si="9"/>
        <v>0</v>
      </c>
      <c r="E309" s="29"/>
      <c r="F309" s="28"/>
      <c r="G309" s="29">
        <f t="shared" si="8"/>
        <v>0</v>
      </c>
      <c r="H309" s="30">
        <v>1500</v>
      </c>
      <c r="I309" s="19">
        <f t="shared" si="10"/>
        <v>0</v>
      </c>
    </row>
    <row r="310" spans="1:9" x14ac:dyDescent="0.3">
      <c r="A310" s="24" t="s">
        <v>65</v>
      </c>
      <c r="B310" s="28"/>
      <c r="C310" s="28"/>
      <c r="D310" s="29">
        <f t="shared" si="9"/>
        <v>0</v>
      </c>
      <c r="E310" s="28"/>
      <c r="F310" s="28"/>
      <c r="G310" s="29">
        <f t="shared" si="8"/>
        <v>0</v>
      </c>
      <c r="H310" s="30"/>
      <c r="I310" s="19">
        <f t="shared" si="10"/>
        <v>0</v>
      </c>
    </row>
    <row r="311" spans="1:9" x14ac:dyDescent="0.3">
      <c r="A311" s="28" t="s">
        <v>304</v>
      </c>
      <c r="B311" s="28"/>
      <c r="C311" s="28"/>
      <c r="D311" s="29">
        <f t="shared" si="9"/>
        <v>0</v>
      </c>
      <c r="E311" s="28"/>
      <c r="F311" s="28"/>
      <c r="G311" s="29">
        <f t="shared" si="8"/>
        <v>0</v>
      </c>
      <c r="H311" s="30">
        <v>60</v>
      </c>
      <c r="I311" s="19">
        <f t="shared" si="10"/>
        <v>0</v>
      </c>
    </row>
    <row r="312" spans="1:9" x14ac:dyDescent="0.3">
      <c r="A312" s="28" t="s">
        <v>66</v>
      </c>
      <c r="B312" s="28"/>
      <c r="C312" s="28"/>
      <c r="D312" s="29">
        <f t="shared" si="9"/>
        <v>0</v>
      </c>
      <c r="E312" s="28"/>
      <c r="F312" s="28"/>
      <c r="G312" s="29">
        <f t="shared" si="8"/>
        <v>0</v>
      </c>
      <c r="H312" s="30">
        <v>250</v>
      </c>
      <c r="I312" s="19">
        <f t="shared" si="10"/>
        <v>0</v>
      </c>
    </row>
    <row r="313" spans="1:9" x14ac:dyDescent="0.3">
      <c r="A313" s="28" t="s">
        <v>149</v>
      </c>
      <c r="B313" s="28"/>
      <c r="C313" s="28"/>
      <c r="D313" s="29">
        <f t="shared" si="9"/>
        <v>0</v>
      </c>
      <c r="E313" s="28"/>
      <c r="F313" s="28"/>
      <c r="G313" s="29">
        <f t="shared" si="8"/>
        <v>0</v>
      </c>
      <c r="H313" s="30">
        <v>400</v>
      </c>
      <c r="I313" s="19">
        <f t="shared" si="10"/>
        <v>0</v>
      </c>
    </row>
    <row r="314" spans="1:9" x14ac:dyDescent="0.3">
      <c r="A314" s="28" t="s">
        <v>148</v>
      </c>
      <c r="B314" s="28"/>
      <c r="C314" s="28"/>
      <c r="D314" s="29">
        <f t="shared" si="9"/>
        <v>0</v>
      </c>
      <c r="E314" s="28"/>
      <c r="F314" s="28"/>
      <c r="G314" s="29">
        <f t="shared" si="8"/>
        <v>0</v>
      </c>
      <c r="H314" s="30">
        <v>500</v>
      </c>
      <c r="I314" s="19">
        <f t="shared" si="10"/>
        <v>0</v>
      </c>
    </row>
    <row r="315" spans="1:9" x14ac:dyDescent="0.3">
      <c r="A315" s="28" t="s">
        <v>100</v>
      </c>
      <c r="B315" s="28"/>
      <c r="C315" s="28"/>
      <c r="D315" s="29">
        <f t="shared" si="9"/>
        <v>0</v>
      </c>
      <c r="E315" s="28"/>
      <c r="F315" s="28"/>
      <c r="G315" s="29">
        <f t="shared" si="8"/>
        <v>0</v>
      </c>
      <c r="H315" s="31">
        <v>85</v>
      </c>
      <c r="I315" s="19">
        <f t="shared" si="10"/>
        <v>0</v>
      </c>
    </row>
    <row r="316" spans="1:9" x14ac:dyDescent="0.3">
      <c r="A316" s="28" t="s">
        <v>101</v>
      </c>
      <c r="B316" s="28"/>
      <c r="C316" s="28"/>
      <c r="D316" s="29">
        <f t="shared" si="9"/>
        <v>0</v>
      </c>
      <c r="E316" s="28"/>
      <c r="F316" s="28"/>
      <c r="G316" s="29">
        <f t="shared" si="8"/>
        <v>0</v>
      </c>
      <c r="H316" s="31">
        <v>85</v>
      </c>
      <c r="I316" s="19">
        <f t="shared" si="10"/>
        <v>0</v>
      </c>
    </row>
    <row r="317" spans="1:9" x14ac:dyDescent="0.3">
      <c r="A317" s="28" t="s">
        <v>102</v>
      </c>
      <c r="B317" s="28"/>
      <c r="C317" s="28"/>
      <c r="D317" s="29">
        <f t="shared" si="9"/>
        <v>0</v>
      </c>
      <c r="E317" s="28"/>
      <c r="F317" s="28"/>
      <c r="G317" s="29">
        <f t="shared" si="8"/>
        <v>0</v>
      </c>
      <c r="H317" s="31">
        <v>105</v>
      </c>
      <c r="I317" s="19">
        <f t="shared" si="10"/>
        <v>0</v>
      </c>
    </row>
    <row r="318" spans="1:9" x14ac:dyDescent="0.3">
      <c r="A318" s="28" t="s">
        <v>103</v>
      </c>
      <c r="B318" s="28"/>
      <c r="C318" s="28"/>
      <c r="D318" s="29">
        <f t="shared" si="9"/>
        <v>0</v>
      </c>
      <c r="E318" s="28"/>
      <c r="F318" s="28"/>
      <c r="G318" s="29">
        <f t="shared" si="8"/>
        <v>0</v>
      </c>
      <c r="H318" s="34">
        <v>6000</v>
      </c>
      <c r="I318" s="19">
        <f t="shared" si="10"/>
        <v>0</v>
      </c>
    </row>
    <row r="319" spans="1:9" x14ac:dyDescent="0.3">
      <c r="A319" s="28" t="s">
        <v>104</v>
      </c>
      <c r="B319" s="28"/>
      <c r="C319" s="28"/>
      <c r="D319" s="29">
        <f t="shared" si="9"/>
        <v>0</v>
      </c>
      <c r="E319" s="28"/>
      <c r="F319" s="28"/>
      <c r="G319" s="29">
        <f t="shared" si="8"/>
        <v>0</v>
      </c>
      <c r="H319" s="30">
        <v>2800</v>
      </c>
      <c r="I319" s="19">
        <f t="shared" si="10"/>
        <v>0</v>
      </c>
    </row>
    <row r="320" spans="1:9" x14ac:dyDescent="0.3">
      <c r="A320" s="28" t="s">
        <v>338</v>
      </c>
      <c r="B320" s="28"/>
      <c r="C320" s="28"/>
      <c r="D320" s="29">
        <f t="shared" si="9"/>
        <v>0</v>
      </c>
      <c r="E320" s="28"/>
      <c r="F320" s="28"/>
      <c r="G320" s="29">
        <f t="shared" si="8"/>
        <v>0</v>
      </c>
      <c r="H320" s="30">
        <v>2500</v>
      </c>
      <c r="I320" s="19">
        <f t="shared" si="10"/>
        <v>0</v>
      </c>
    </row>
    <row r="321" spans="1:9" x14ac:dyDescent="0.3">
      <c r="A321" s="28" t="s">
        <v>105</v>
      </c>
      <c r="B321" s="28"/>
      <c r="C321" s="28"/>
      <c r="D321" s="29">
        <f t="shared" si="9"/>
        <v>0</v>
      </c>
      <c r="E321" s="28"/>
      <c r="F321" s="28"/>
      <c r="G321" s="29">
        <f t="shared" si="8"/>
        <v>0</v>
      </c>
      <c r="H321" s="30">
        <v>2600</v>
      </c>
      <c r="I321" s="19">
        <f t="shared" si="10"/>
        <v>0</v>
      </c>
    </row>
    <row r="322" spans="1:9" x14ac:dyDescent="0.3">
      <c r="A322" s="28" t="s">
        <v>337</v>
      </c>
      <c r="B322" s="28"/>
      <c r="C322" s="28"/>
      <c r="D322" s="29">
        <f t="shared" si="9"/>
        <v>0</v>
      </c>
      <c r="E322" s="28"/>
      <c r="F322" s="28"/>
      <c r="G322" s="29">
        <f t="shared" si="8"/>
        <v>0</v>
      </c>
      <c r="H322" s="30">
        <v>2800</v>
      </c>
      <c r="I322" s="19">
        <f t="shared" si="10"/>
        <v>0</v>
      </c>
    </row>
    <row r="323" spans="1:9" x14ac:dyDescent="0.3">
      <c r="A323" s="28" t="s">
        <v>297</v>
      </c>
      <c r="B323" s="28"/>
      <c r="C323" s="28"/>
      <c r="D323" s="29">
        <f t="shared" si="9"/>
        <v>0</v>
      </c>
      <c r="E323" s="28"/>
      <c r="F323" s="28"/>
      <c r="G323" s="29">
        <f t="shared" si="8"/>
        <v>0</v>
      </c>
      <c r="H323" s="30">
        <v>2400</v>
      </c>
      <c r="I323" s="19">
        <f t="shared" si="10"/>
        <v>0</v>
      </c>
    </row>
    <row r="324" spans="1:9" x14ac:dyDescent="0.3">
      <c r="A324" s="28" t="s">
        <v>106</v>
      </c>
      <c r="B324" s="28"/>
      <c r="C324" s="28"/>
      <c r="D324" s="29">
        <f t="shared" si="9"/>
        <v>0</v>
      </c>
      <c r="E324" s="28"/>
      <c r="F324" s="28"/>
      <c r="G324" s="29">
        <f t="shared" si="8"/>
        <v>0</v>
      </c>
      <c r="H324" s="30">
        <v>250</v>
      </c>
      <c r="I324" s="19">
        <f t="shared" si="10"/>
        <v>0</v>
      </c>
    </row>
    <row r="325" spans="1:9" x14ac:dyDescent="0.3">
      <c r="A325" s="28" t="s">
        <v>260</v>
      </c>
      <c r="B325" s="28"/>
      <c r="C325" s="28"/>
      <c r="D325" s="29">
        <f t="shared" si="9"/>
        <v>0</v>
      </c>
      <c r="E325" s="28"/>
      <c r="F325" s="28"/>
      <c r="G325" s="29">
        <f t="shared" si="8"/>
        <v>0</v>
      </c>
      <c r="H325" s="30">
        <v>130</v>
      </c>
      <c r="I325" s="19">
        <f t="shared" si="10"/>
        <v>0</v>
      </c>
    </row>
    <row r="326" spans="1:9" x14ac:dyDescent="0.3">
      <c r="A326" s="28" t="s">
        <v>344</v>
      </c>
      <c r="B326" s="28"/>
      <c r="C326" s="28"/>
      <c r="D326" s="29">
        <f t="shared" si="9"/>
        <v>0</v>
      </c>
      <c r="E326" s="28"/>
      <c r="F326" s="28"/>
      <c r="G326" s="29">
        <f t="shared" si="8"/>
        <v>0</v>
      </c>
      <c r="H326" s="30">
        <v>4500</v>
      </c>
      <c r="I326" s="19">
        <f t="shared" si="10"/>
        <v>0</v>
      </c>
    </row>
    <row r="327" spans="1:9" x14ac:dyDescent="0.3">
      <c r="A327" s="28" t="s">
        <v>345</v>
      </c>
      <c r="B327" s="28"/>
      <c r="C327" s="28"/>
      <c r="D327" s="29">
        <f t="shared" si="9"/>
        <v>0</v>
      </c>
      <c r="E327" s="28"/>
      <c r="F327" s="28"/>
      <c r="G327" s="29">
        <f t="shared" si="8"/>
        <v>0</v>
      </c>
      <c r="H327" s="30">
        <v>5000</v>
      </c>
      <c r="I327" s="19">
        <f t="shared" si="10"/>
        <v>0</v>
      </c>
    </row>
    <row r="328" spans="1:9" x14ac:dyDescent="0.3">
      <c r="A328" s="28" t="s">
        <v>210</v>
      </c>
      <c r="B328" s="28"/>
      <c r="C328" s="28"/>
      <c r="D328" s="29">
        <f t="shared" si="9"/>
        <v>0</v>
      </c>
      <c r="E328" s="28"/>
      <c r="F328" s="28"/>
      <c r="G328" s="29">
        <f t="shared" si="8"/>
        <v>0</v>
      </c>
      <c r="H328" s="30">
        <v>2800</v>
      </c>
      <c r="I328" s="19">
        <f t="shared" si="10"/>
        <v>0</v>
      </c>
    </row>
    <row r="329" spans="1:9" x14ac:dyDescent="0.3">
      <c r="A329" s="28" t="s">
        <v>107</v>
      </c>
      <c r="B329" s="28"/>
      <c r="C329" s="28"/>
      <c r="D329" s="29">
        <f t="shared" si="9"/>
        <v>0</v>
      </c>
      <c r="E329" s="28"/>
      <c r="F329" s="28"/>
      <c r="G329" s="29">
        <f t="shared" si="8"/>
        <v>0</v>
      </c>
      <c r="H329" s="30">
        <v>1500</v>
      </c>
      <c r="I329" s="19">
        <f t="shared" si="10"/>
        <v>0</v>
      </c>
    </row>
    <row r="330" spans="1:9" x14ac:dyDescent="0.3">
      <c r="A330" s="28" t="s">
        <v>108</v>
      </c>
      <c r="B330" s="28"/>
      <c r="C330" s="28">
        <v>1</v>
      </c>
      <c r="D330" s="29">
        <f t="shared" si="9"/>
        <v>1</v>
      </c>
      <c r="E330" s="28"/>
      <c r="F330" s="28">
        <v>1</v>
      </c>
      <c r="G330" s="29">
        <f t="shared" si="8"/>
        <v>0</v>
      </c>
      <c r="H330" s="30">
        <v>1000</v>
      </c>
      <c r="I330" s="19">
        <f t="shared" si="10"/>
        <v>0</v>
      </c>
    </row>
    <row r="331" spans="1:9" x14ac:dyDescent="0.3">
      <c r="A331" s="28" t="s">
        <v>109</v>
      </c>
      <c r="B331" s="28">
        <v>5</v>
      </c>
      <c r="C331" s="28"/>
      <c r="D331" s="29">
        <f t="shared" ref="D331:D375" si="11">B331+C331</f>
        <v>5</v>
      </c>
      <c r="E331" s="28"/>
      <c r="F331" s="28">
        <v>4</v>
      </c>
      <c r="G331" s="29">
        <f t="shared" si="8"/>
        <v>1</v>
      </c>
      <c r="H331" s="30">
        <v>2850</v>
      </c>
      <c r="I331" s="19">
        <f t="shared" si="10"/>
        <v>2850</v>
      </c>
    </row>
    <row r="332" spans="1:9" x14ac:dyDescent="0.3">
      <c r="A332" s="28" t="s">
        <v>110</v>
      </c>
      <c r="B332" s="28"/>
      <c r="C332" s="28"/>
      <c r="D332" s="29">
        <f t="shared" si="11"/>
        <v>0</v>
      </c>
      <c r="E332" s="28"/>
      <c r="F332" s="28"/>
      <c r="G332" s="29">
        <f t="shared" si="8"/>
        <v>0</v>
      </c>
      <c r="H332" s="30"/>
      <c r="I332" s="19">
        <f t="shared" si="10"/>
        <v>0</v>
      </c>
    </row>
    <row r="333" spans="1:9" x14ac:dyDescent="0.3">
      <c r="A333" s="28" t="s">
        <v>111</v>
      </c>
      <c r="B333" s="28">
        <v>2</v>
      </c>
      <c r="C333" s="28">
        <v>3</v>
      </c>
      <c r="D333" s="29">
        <f t="shared" si="11"/>
        <v>5</v>
      </c>
      <c r="E333" s="28"/>
      <c r="F333" s="28">
        <v>4</v>
      </c>
      <c r="G333" s="29">
        <f t="shared" si="8"/>
        <v>1</v>
      </c>
      <c r="H333" s="30">
        <v>3500</v>
      </c>
      <c r="I333" s="19">
        <f t="shared" si="10"/>
        <v>3500</v>
      </c>
    </row>
    <row r="334" spans="1:9" x14ac:dyDescent="0.3">
      <c r="A334" s="28" t="s">
        <v>234</v>
      </c>
      <c r="B334" s="28">
        <v>3</v>
      </c>
      <c r="C334" s="28"/>
      <c r="D334" s="29">
        <f t="shared" si="11"/>
        <v>3</v>
      </c>
      <c r="E334" s="28"/>
      <c r="F334" s="28">
        <v>3</v>
      </c>
      <c r="G334" s="29">
        <f t="shared" si="8"/>
        <v>0</v>
      </c>
      <c r="H334" s="30">
        <v>650</v>
      </c>
      <c r="I334" s="19">
        <f t="shared" si="10"/>
        <v>0</v>
      </c>
    </row>
    <row r="335" spans="1:9" x14ac:dyDescent="0.3">
      <c r="A335" s="28" t="s">
        <v>112</v>
      </c>
      <c r="B335" s="28"/>
      <c r="C335" s="28"/>
      <c r="D335" s="29">
        <f t="shared" si="11"/>
        <v>0</v>
      </c>
      <c r="E335" s="28"/>
      <c r="F335" s="28"/>
      <c r="G335" s="29">
        <f t="shared" si="8"/>
        <v>0</v>
      </c>
      <c r="H335" s="30">
        <v>1000</v>
      </c>
      <c r="I335" s="19">
        <f t="shared" si="10"/>
        <v>0</v>
      </c>
    </row>
    <row r="336" spans="1:9" x14ac:dyDescent="0.3">
      <c r="A336" s="28" t="s">
        <v>358</v>
      </c>
      <c r="B336" s="28">
        <v>100</v>
      </c>
      <c r="C336" s="28">
        <v>200</v>
      </c>
      <c r="D336" s="29">
        <f t="shared" si="11"/>
        <v>300</v>
      </c>
      <c r="E336" s="28"/>
      <c r="F336" s="28">
        <v>200</v>
      </c>
      <c r="G336" s="29">
        <f t="shared" si="8"/>
        <v>100</v>
      </c>
      <c r="H336" s="30">
        <v>100</v>
      </c>
      <c r="I336" s="19">
        <f t="shared" si="10"/>
        <v>10000</v>
      </c>
    </row>
    <row r="337" spans="1:9" x14ac:dyDescent="0.3">
      <c r="A337" s="28" t="s">
        <v>298</v>
      </c>
      <c r="B337" s="28">
        <v>50</v>
      </c>
      <c r="C337" s="28">
        <v>100</v>
      </c>
      <c r="D337" s="29">
        <f t="shared" si="11"/>
        <v>150</v>
      </c>
      <c r="E337" s="28"/>
      <c r="F337" s="28"/>
      <c r="G337" s="29">
        <f t="shared" si="8"/>
        <v>150</v>
      </c>
      <c r="H337" s="30">
        <v>100</v>
      </c>
      <c r="I337" s="19">
        <f t="shared" si="10"/>
        <v>15000</v>
      </c>
    </row>
    <row r="338" spans="1:9" x14ac:dyDescent="0.3">
      <c r="A338" s="28" t="s">
        <v>114</v>
      </c>
      <c r="B338" s="28">
        <v>12</v>
      </c>
      <c r="C338" s="28"/>
      <c r="D338" s="29">
        <f t="shared" si="11"/>
        <v>12</v>
      </c>
      <c r="E338" s="28"/>
      <c r="F338" s="28">
        <v>10</v>
      </c>
      <c r="G338" s="29">
        <f t="shared" ref="G338:G375" si="12">D338-E338-F338</f>
        <v>2</v>
      </c>
      <c r="H338" s="30">
        <v>450</v>
      </c>
      <c r="I338" s="19">
        <f t="shared" si="10"/>
        <v>900</v>
      </c>
    </row>
    <row r="339" spans="1:9" x14ac:dyDescent="0.3">
      <c r="A339" s="28" t="s">
        <v>116</v>
      </c>
      <c r="B339" s="28">
        <v>50</v>
      </c>
      <c r="C339" s="28"/>
      <c r="D339" s="29">
        <f t="shared" si="11"/>
        <v>50</v>
      </c>
      <c r="E339" s="28"/>
      <c r="F339" s="28">
        <v>50</v>
      </c>
      <c r="G339" s="29">
        <f t="shared" si="12"/>
        <v>0</v>
      </c>
      <c r="H339" s="30">
        <v>300</v>
      </c>
      <c r="I339" s="19">
        <f t="shared" si="10"/>
        <v>0</v>
      </c>
    </row>
    <row r="340" spans="1:9" x14ac:dyDescent="0.3">
      <c r="A340" s="28" t="s">
        <v>119</v>
      </c>
      <c r="B340" s="28">
        <v>50</v>
      </c>
      <c r="C340" s="28"/>
      <c r="D340" s="29">
        <f t="shared" si="11"/>
        <v>50</v>
      </c>
      <c r="E340" s="28"/>
      <c r="F340" s="28">
        <v>44</v>
      </c>
      <c r="G340" s="29">
        <f t="shared" si="12"/>
        <v>6</v>
      </c>
      <c r="H340" s="30">
        <v>150</v>
      </c>
      <c r="I340" s="19">
        <f t="shared" si="10"/>
        <v>900</v>
      </c>
    </row>
    <row r="341" spans="1:9" x14ac:dyDescent="0.3">
      <c r="A341" s="28" t="s">
        <v>120</v>
      </c>
      <c r="B341" s="28">
        <v>500</v>
      </c>
      <c r="C341" s="28"/>
      <c r="D341" s="29">
        <f t="shared" si="11"/>
        <v>500</v>
      </c>
      <c r="E341" s="28"/>
      <c r="F341" s="28">
        <v>250</v>
      </c>
      <c r="G341" s="29">
        <f t="shared" si="12"/>
        <v>250</v>
      </c>
      <c r="H341" s="30">
        <v>90</v>
      </c>
      <c r="I341" s="19">
        <f t="shared" si="10"/>
        <v>22500</v>
      </c>
    </row>
    <row r="342" spans="1:9" x14ac:dyDescent="0.3">
      <c r="A342" s="28" t="s">
        <v>308</v>
      </c>
      <c r="B342" s="28"/>
      <c r="C342" s="28"/>
      <c r="D342" s="29">
        <f t="shared" si="11"/>
        <v>0</v>
      </c>
      <c r="E342" s="28"/>
      <c r="F342" s="28"/>
      <c r="G342" s="29">
        <f t="shared" si="12"/>
        <v>0</v>
      </c>
      <c r="H342" s="30">
        <v>100</v>
      </c>
      <c r="I342" s="19">
        <f t="shared" si="10"/>
        <v>0</v>
      </c>
    </row>
    <row r="343" spans="1:9" x14ac:dyDescent="0.3">
      <c r="A343" s="28" t="s">
        <v>309</v>
      </c>
      <c r="B343" s="28"/>
      <c r="C343" s="28"/>
      <c r="D343" s="29">
        <f t="shared" si="11"/>
        <v>0</v>
      </c>
      <c r="E343" s="28"/>
      <c r="F343" s="28"/>
      <c r="G343" s="29">
        <f t="shared" si="12"/>
        <v>0</v>
      </c>
      <c r="H343" s="30">
        <v>1500</v>
      </c>
      <c r="I343" s="19">
        <f t="shared" si="10"/>
        <v>0</v>
      </c>
    </row>
    <row r="344" spans="1:9" x14ac:dyDescent="0.3">
      <c r="A344" s="28" t="s">
        <v>317</v>
      </c>
      <c r="B344" s="28">
        <v>25</v>
      </c>
      <c r="C344" s="28"/>
      <c r="D344" s="29">
        <f t="shared" si="11"/>
        <v>25</v>
      </c>
      <c r="E344" s="28"/>
      <c r="F344" s="28">
        <v>22</v>
      </c>
      <c r="G344" s="29">
        <f t="shared" si="12"/>
        <v>3</v>
      </c>
      <c r="H344" s="30">
        <v>600</v>
      </c>
      <c r="I344" s="19">
        <f t="shared" si="10"/>
        <v>1800</v>
      </c>
    </row>
    <row r="345" spans="1:9" x14ac:dyDescent="0.3">
      <c r="A345" s="28" t="s">
        <v>318</v>
      </c>
      <c r="B345" s="28"/>
      <c r="C345" s="28"/>
      <c r="D345" s="29">
        <f t="shared" si="11"/>
        <v>0</v>
      </c>
      <c r="E345" s="28"/>
      <c r="F345" s="28"/>
      <c r="G345" s="29">
        <f t="shared" si="12"/>
        <v>0</v>
      </c>
      <c r="H345" s="30">
        <v>500</v>
      </c>
      <c r="I345" s="19">
        <f t="shared" si="10"/>
        <v>0</v>
      </c>
    </row>
    <row r="346" spans="1:9" x14ac:dyDescent="0.3">
      <c r="A346" s="28" t="s">
        <v>121</v>
      </c>
      <c r="B346" s="28"/>
      <c r="C346" s="28"/>
      <c r="D346" s="29">
        <f t="shared" si="11"/>
        <v>0</v>
      </c>
      <c r="E346" s="28"/>
      <c r="F346" s="28"/>
      <c r="G346" s="29">
        <f t="shared" si="12"/>
        <v>0</v>
      </c>
      <c r="H346" s="30">
        <v>25</v>
      </c>
      <c r="I346" s="19">
        <f t="shared" si="10"/>
        <v>0</v>
      </c>
    </row>
    <row r="347" spans="1:9" x14ac:dyDescent="0.3">
      <c r="A347" s="28" t="s">
        <v>412</v>
      </c>
      <c r="B347" s="28"/>
      <c r="C347" s="28"/>
      <c r="D347" s="29">
        <f t="shared" si="11"/>
        <v>0</v>
      </c>
      <c r="E347" s="28"/>
      <c r="F347" s="28"/>
      <c r="G347" s="29">
        <f t="shared" si="12"/>
        <v>0</v>
      </c>
      <c r="H347" s="30">
        <v>28000</v>
      </c>
      <c r="I347" s="19">
        <f t="shared" si="10"/>
        <v>0</v>
      </c>
    </row>
    <row r="348" spans="1:9" x14ac:dyDescent="0.3">
      <c r="A348" s="28" t="s">
        <v>133</v>
      </c>
      <c r="B348" s="28"/>
      <c r="C348" s="28"/>
      <c r="D348" s="29">
        <f t="shared" si="11"/>
        <v>0</v>
      </c>
      <c r="E348" s="28"/>
      <c r="F348" s="28"/>
      <c r="G348" s="29">
        <f t="shared" si="12"/>
        <v>0</v>
      </c>
      <c r="H348" s="30">
        <v>1500</v>
      </c>
      <c r="I348" s="19">
        <f t="shared" si="10"/>
        <v>0</v>
      </c>
    </row>
    <row r="349" spans="1:9" x14ac:dyDescent="0.3">
      <c r="A349" s="28" t="s">
        <v>138</v>
      </c>
      <c r="B349" s="28"/>
      <c r="C349" s="28">
        <v>300</v>
      </c>
      <c r="D349" s="29">
        <f t="shared" si="11"/>
        <v>300</v>
      </c>
      <c r="E349" s="28"/>
      <c r="F349" s="28">
        <v>100</v>
      </c>
      <c r="G349" s="29">
        <f t="shared" si="12"/>
        <v>200</v>
      </c>
      <c r="H349" s="30">
        <v>30</v>
      </c>
      <c r="I349" s="19">
        <f t="shared" si="10"/>
        <v>6000</v>
      </c>
    </row>
    <row r="350" spans="1:9" x14ac:dyDescent="0.3">
      <c r="A350" s="28" t="s">
        <v>139</v>
      </c>
      <c r="B350" s="28"/>
      <c r="C350" s="28">
        <v>300</v>
      </c>
      <c r="D350" s="29">
        <f t="shared" si="11"/>
        <v>300</v>
      </c>
      <c r="E350" s="28"/>
      <c r="F350" s="28">
        <v>100</v>
      </c>
      <c r="G350" s="29">
        <f t="shared" si="12"/>
        <v>200</v>
      </c>
      <c r="H350" s="30">
        <v>30</v>
      </c>
      <c r="I350" s="19">
        <f t="shared" si="10"/>
        <v>6000</v>
      </c>
    </row>
    <row r="351" spans="1:9" x14ac:dyDescent="0.3">
      <c r="A351" s="28" t="s">
        <v>146</v>
      </c>
      <c r="B351" s="28"/>
      <c r="C351" s="28"/>
      <c r="D351" s="29">
        <f t="shared" si="11"/>
        <v>0</v>
      </c>
      <c r="E351" s="28"/>
      <c r="F351" s="28"/>
      <c r="G351" s="29">
        <f t="shared" si="12"/>
        <v>0</v>
      </c>
      <c r="H351" s="30">
        <v>1200</v>
      </c>
      <c r="I351" s="19">
        <f t="shared" si="10"/>
        <v>0</v>
      </c>
    </row>
    <row r="352" spans="1:9" x14ac:dyDescent="0.3">
      <c r="A352" s="28" t="s">
        <v>253</v>
      </c>
      <c r="B352" s="28"/>
      <c r="C352" s="28"/>
      <c r="D352" s="29">
        <f t="shared" si="11"/>
        <v>0</v>
      </c>
      <c r="E352" s="28"/>
      <c r="F352" s="28"/>
      <c r="G352" s="29">
        <f t="shared" si="12"/>
        <v>0</v>
      </c>
      <c r="H352" s="30">
        <v>700</v>
      </c>
      <c r="I352" s="19">
        <f t="shared" si="10"/>
        <v>0</v>
      </c>
    </row>
    <row r="353" spans="1:9" x14ac:dyDescent="0.3">
      <c r="A353" s="28" t="s">
        <v>262</v>
      </c>
      <c r="B353" s="28"/>
      <c r="C353" s="28"/>
      <c r="D353" s="29">
        <f t="shared" si="11"/>
        <v>0</v>
      </c>
      <c r="E353" s="28"/>
      <c r="F353" s="28"/>
      <c r="G353" s="29">
        <f t="shared" si="12"/>
        <v>0</v>
      </c>
      <c r="H353" s="30">
        <v>8000</v>
      </c>
      <c r="I353" s="19">
        <f t="shared" si="10"/>
        <v>0</v>
      </c>
    </row>
    <row r="354" spans="1:9" x14ac:dyDescent="0.3">
      <c r="A354" s="28" t="s">
        <v>140</v>
      </c>
      <c r="B354" s="28"/>
      <c r="C354" s="28"/>
      <c r="D354" s="29">
        <f t="shared" si="11"/>
        <v>0</v>
      </c>
      <c r="E354" s="28"/>
      <c r="F354" s="28"/>
      <c r="G354" s="29">
        <f t="shared" si="12"/>
        <v>0</v>
      </c>
      <c r="H354" s="30">
        <v>6</v>
      </c>
      <c r="I354" s="19">
        <f t="shared" si="10"/>
        <v>0</v>
      </c>
    </row>
    <row r="355" spans="1:9" x14ac:dyDescent="0.3">
      <c r="A355" s="28" t="s">
        <v>147</v>
      </c>
      <c r="B355" s="28">
        <v>15</v>
      </c>
      <c r="C355" s="28"/>
      <c r="D355" s="29">
        <f t="shared" si="11"/>
        <v>15</v>
      </c>
      <c r="E355" s="28"/>
      <c r="F355" s="28">
        <v>8</v>
      </c>
      <c r="G355" s="29">
        <f t="shared" si="12"/>
        <v>7</v>
      </c>
      <c r="H355" s="30">
        <v>2000</v>
      </c>
      <c r="I355" s="19">
        <f t="shared" si="10"/>
        <v>14000</v>
      </c>
    </row>
    <row r="356" spans="1:9" x14ac:dyDescent="0.3">
      <c r="A356" s="28" t="s">
        <v>237</v>
      </c>
      <c r="B356" s="28"/>
      <c r="C356" s="28"/>
      <c r="D356" s="29">
        <f t="shared" si="11"/>
        <v>0</v>
      </c>
      <c r="E356" s="28"/>
      <c r="F356" s="28"/>
      <c r="G356" s="29">
        <f t="shared" si="12"/>
        <v>0</v>
      </c>
      <c r="H356" s="30">
        <v>180</v>
      </c>
      <c r="I356" s="19">
        <f t="shared" si="10"/>
        <v>0</v>
      </c>
    </row>
    <row r="357" spans="1:9" x14ac:dyDescent="0.3">
      <c r="A357" s="28" t="s">
        <v>144</v>
      </c>
      <c r="B357" s="28"/>
      <c r="C357" s="28"/>
      <c r="D357" s="29">
        <f t="shared" si="11"/>
        <v>0</v>
      </c>
      <c r="E357" s="28"/>
      <c r="F357" s="28"/>
      <c r="G357" s="29">
        <f t="shared" si="12"/>
        <v>0</v>
      </c>
      <c r="H357" s="30">
        <v>5000</v>
      </c>
      <c r="I357" s="19">
        <f t="shared" si="10"/>
        <v>0</v>
      </c>
    </row>
    <row r="358" spans="1:9" x14ac:dyDescent="0.3">
      <c r="A358" s="28" t="s">
        <v>145</v>
      </c>
      <c r="B358" s="28"/>
      <c r="C358" s="28"/>
      <c r="D358" s="29">
        <f t="shared" si="11"/>
        <v>0</v>
      </c>
      <c r="E358" s="28"/>
      <c r="F358" s="28"/>
      <c r="G358" s="29">
        <f t="shared" si="12"/>
        <v>0</v>
      </c>
      <c r="H358" s="30">
        <v>7500</v>
      </c>
      <c r="I358" s="19">
        <f t="shared" si="10"/>
        <v>0</v>
      </c>
    </row>
    <row r="359" spans="1:9" x14ac:dyDescent="0.3">
      <c r="A359" s="28" t="s">
        <v>228</v>
      </c>
      <c r="B359" s="28"/>
      <c r="C359" s="28"/>
      <c r="D359" s="29">
        <f t="shared" si="11"/>
        <v>0</v>
      </c>
      <c r="E359" s="28"/>
      <c r="F359" s="28"/>
      <c r="G359" s="29">
        <f t="shared" si="12"/>
        <v>0</v>
      </c>
      <c r="H359" s="30">
        <v>70</v>
      </c>
      <c r="I359" s="19">
        <f t="shared" si="10"/>
        <v>0</v>
      </c>
    </row>
    <row r="360" spans="1:9" x14ac:dyDescent="0.3">
      <c r="A360" s="28" t="s">
        <v>340</v>
      </c>
      <c r="B360" s="28"/>
      <c r="C360" s="28"/>
      <c r="D360" s="29">
        <f t="shared" si="11"/>
        <v>0</v>
      </c>
      <c r="E360" s="28"/>
      <c r="F360" s="28"/>
      <c r="G360" s="29">
        <f t="shared" si="12"/>
        <v>0</v>
      </c>
      <c r="H360" s="30">
        <v>1400</v>
      </c>
      <c r="I360" s="19">
        <f t="shared" si="10"/>
        <v>0</v>
      </c>
    </row>
    <row r="361" spans="1:9" x14ac:dyDescent="0.3">
      <c r="A361" s="28" t="s">
        <v>341</v>
      </c>
      <c r="B361" s="28"/>
      <c r="C361" s="28"/>
      <c r="D361" s="29">
        <f t="shared" si="11"/>
        <v>0</v>
      </c>
      <c r="E361" s="28"/>
      <c r="F361" s="28"/>
      <c r="G361" s="29">
        <f t="shared" si="12"/>
        <v>0</v>
      </c>
      <c r="H361" s="30">
        <v>1200</v>
      </c>
      <c r="I361" s="19">
        <f t="shared" si="10"/>
        <v>0</v>
      </c>
    </row>
    <row r="362" spans="1:9" x14ac:dyDescent="0.3">
      <c r="A362" s="28" t="s">
        <v>209</v>
      </c>
      <c r="B362" s="28"/>
      <c r="C362" s="28"/>
      <c r="D362" s="29">
        <f t="shared" si="11"/>
        <v>0</v>
      </c>
      <c r="E362" s="28"/>
      <c r="F362" s="28"/>
      <c r="G362" s="29">
        <f t="shared" si="12"/>
        <v>0</v>
      </c>
      <c r="H362" s="30">
        <v>30</v>
      </c>
      <c r="I362" s="19">
        <f t="shared" si="10"/>
        <v>0</v>
      </c>
    </row>
    <row r="363" spans="1:9" x14ac:dyDescent="0.3">
      <c r="A363" s="28" t="s">
        <v>261</v>
      </c>
      <c r="B363" s="28"/>
      <c r="C363" s="28"/>
      <c r="D363" s="29">
        <f t="shared" si="11"/>
        <v>0</v>
      </c>
      <c r="E363" s="28"/>
      <c r="F363" s="28"/>
      <c r="G363" s="29">
        <f t="shared" si="12"/>
        <v>0</v>
      </c>
      <c r="H363" s="30">
        <v>32</v>
      </c>
      <c r="I363" s="19">
        <f t="shared" si="10"/>
        <v>0</v>
      </c>
    </row>
    <row r="364" spans="1:9" x14ac:dyDescent="0.3">
      <c r="A364" s="28" t="s">
        <v>244</v>
      </c>
      <c r="B364" s="28"/>
      <c r="C364" s="28"/>
      <c r="D364" s="29">
        <f t="shared" si="11"/>
        <v>0</v>
      </c>
      <c r="E364" s="28"/>
      <c r="F364" s="28"/>
      <c r="G364" s="29">
        <f t="shared" si="12"/>
        <v>0</v>
      </c>
      <c r="H364" s="30">
        <v>2000</v>
      </c>
      <c r="I364" s="19">
        <f t="shared" si="10"/>
        <v>0</v>
      </c>
    </row>
    <row r="365" spans="1:9" x14ac:dyDescent="0.3">
      <c r="A365" s="28" t="s">
        <v>281</v>
      </c>
      <c r="B365" s="28"/>
      <c r="C365" s="28"/>
      <c r="D365" s="29">
        <f t="shared" si="11"/>
        <v>0</v>
      </c>
      <c r="E365" s="28"/>
      <c r="F365" s="28"/>
      <c r="G365" s="29">
        <f t="shared" si="12"/>
        <v>0</v>
      </c>
      <c r="H365" s="30">
        <v>1450</v>
      </c>
      <c r="I365" s="19">
        <f t="shared" si="10"/>
        <v>0</v>
      </c>
    </row>
    <row r="366" spans="1:9" x14ac:dyDescent="0.3">
      <c r="A366" s="28" t="s">
        <v>231</v>
      </c>
      <c r="B366" s="28"/>
      <c r="C366" s="28"/>
      <c r="D366" s="29">
        <f t="shared" si="11"/>
        <v>0</v>
      </c>
      <c r="E366" s="28"/>
      <c r="F366" s="28"/>
      <c r="G366" s="29">
        <f t="shared" si="12"/>
        <v>0</v>
      </c>
      <c r="H366" s="30">
        <v>300</v>
      </c>
      <c r="I366" s="19">
        <f t="shared" si="10"/>
        <v>0</v>
      </c>
    </row>
    <row r="367" spans="1:9" x14ac:dyDescent="0.3">
      <c r="A367" s="28" t="s">
        <v>232</v>
      </c>
      <c r="B367" s="28"/>
      <c r="C367" s="28"/>
      <c r="D367" s="29">
        <f t="shared" si="11"/>
        <v>0</v>
      </c>
      <c r="E367" s="28"/>
      <c r="F367" s="28"/>
      <c r="G367" s="29">
        <f t="shared" si="12"/>
        <v>0</v>
      </c>
      <c r="H367" s="30">
        <v>500</v>
      </c>
      <c r="I367" s="19">
        <f t="shared" si="10"/>
        <v>0</v>
      </c>
    </row>
    <row r="368" spans="1:9" x14ac:dyDescent="0.3">
      <c r="A368" s="28" t="s">
        <v>227</v>
      </c>
      <c r="B368" s="28"/>
      <c r="C368" s="28"/>
      <c r="D368" s="29">
        <f t="shared" si="11"/>
        <v>0</v>
      </c>
      <c r="E368" s="28"/>
      <c r="F368" s="28"/>
      <c r="G368" s="29">
        <f t="shared" si="12"/>
        <v>0</v>
      </c>
      <c r="H368" s="30">
        <v>120</v>
      </c>
      <c r="I368" s="19">
        <f t="shared" si="10"/>
        <v>0</v>
      </c>
    </row>
    <row r="369" spans="1:9" x14ac:dyDescent="0.3">
      <c r="A369" s="28" t="s">
        <v>277</v>
      </c>
      <c r="B369" s="28"/>
      <c r="C369" s="28"/>
      <c r="D369" s="29">
        <f t="shared" si="11"/>
        <v>0</v>
      </c>
      <c r="E369" s="28"/>
      <c r="F369" s="28"/>
      <c r="G369" s="29">
        <f t="shared" si="12"/>
        <v>0</v>
      </c>
      <c r="H369" s="30"/>
      <c r="I369" s="19">
        <f t="shared" si="10"/>
        <v>0</v>
      </c>
    </row>
    <row r="370" spans="1:9" x14ac:dyDescent="0.3">
      <c r="A370" s="28" t="s">
        <v>236</v>
      </c>
      <c r="B370" s="28"/>
      <c r="C370" s="28"/>
      <c r="D370" s="29">
        <f t="shared" si="11"/>
        <v>0</v>
      </c>
      <c r="E370" s="28"/>
      <c r="F370" s="28"/>
      <c r="G370" s="29">
        <f t="shared" si="12"/>
        <v>0</v>
      </c>
      <c r="H370" s="30">
        <v>65</v>
      </c>
      <c r="I370" s="19">
        <f t="shared" si="10"/>
        <v>0</v>
      </c>
    </row>
    <row r="371" spans="1:9" x14ac:dyDescent="0.3">
      <c r="A371" s="28" t="s">
        <v>322</v>
      </c>
      <c r="B371" s="28"/>
      <c r="C371" s="28"/>
      <c r="D371" s="29">
        <f t="shared" si="11"/>
        <v>0</v>
      </c>
      <c r="E371" s="28"/>
      <c r="F371" s="28"/>
      <c r="G371" s="29">
        <f t="shared" si="12"/>
        <v>0</v>
      </c>
      <c r="H371" s="30">
        <v>6500</v>
      </c>
      <c r="I371" s="19">
        <f t="shared" si="10"/>
        <v>0</v>
      </c>
    </row>
    <row r="372" spans="1:9" x14ac:dyDescent="0.3">
      <c r="A372" s="28" t="s">
        <v>335</v>
      </c>
      <c r="B372" s="28"/>
      <c r="C372" s="28"/>
      <c r="D372" s="29">
        <f t="shared" si="11"/>
        <v>0</v>
      </c>
      <c r="E372" s="28"/>
      <c r="F372" s="28"/>
      <c r="G372" s="29">
        <f t="shared" si="12"/>
        <v>0</v>
      </c>
      <c r="H372" s="30">
        <v>1050</v>
      </c>
      <c r="I372" s="19">
        <f t="shared" si="10"/>
        <v>0</v>
      </c>
    </row>
    <row r="373" spans="1:9" x14ac:dyDescent="0.3">
      <c r="A373" s="28" t="s">
        <v>299</v>
      </c>
      <c r="B373" s="28"/>
      <c r="C373" s="28"/>
      <c r="D373" s="29">
        <f t="shared" si="11"/>
        <v>0</v>
      </c>
      <c r="E373" s="28"/>
      <c r="F373" s="28"/>
      <c r="G373" s="29">
        <f t="shared" si="12"/>
        <v>0</v>
      </c>
      <c r="H373" s="30">
        <v>1400</v>
      </c>
      <c r="I373" s="19">
        <f t="shared" si="10"/>
        <v>0</v>
      </c>
    </row>
    <row r="374" spans="1:9" x14ac:dyDescent="0.3">
      <c r="A374" s="28" t="s">
        <v>226</v>
      </c>
      <c r="B374" s="28"/>
      <c r="C374" s="28"/>
      <c r="D374" s="29">
        <f t="shared" si="11"/>
        <v>0</v>
      </c>
      <c r="E374" s="28"/>
      <c r="F374" s="28"/>
      <c r="G374" s="29">
        <f t="shared" si="12"/>
        <v>0</v>
      </c>
      <c r="H374" s="30">
        <v>300</v>
      </c>
      <c r="I374" s="19">
        <f t="shared" si="10"/>
        <v>0</v>
      </c>
    </row>
    <row r="375" spans="1:9" x14ac:dyDescent="0.3">
      <c r="A375" s="28" t="s">
        <v>271</v>
      </c>
      <c r="B375" s="28"/>
      <c r="C375" s="28"/>
      <c r="D375" s="29">
        <f t="shared" si="11"/>
        <v>0</v>
      </c>
      <c r="E375" s="28"/>
      <c r="F375" s="28"/>
      <c r="G375" s="29">
        <f t="shared" si="12"/>
        <v>0</v>
      </c>
      <c r="H375" s="30">
        <v>7000</v>
      </c>
      <c r="I375" s="19">
        <f t="shared" si="10"/>
        <v>0</v>
      </c>
    </row>
    <row r="376" spans="1:9" x14ac:dyDescent="0.3">
      <c r="I376" s="39">
        <f>SUM(I6:I375)</f>
        <v>1112975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STOCK</vt:lpstr>
      <vt:lpstr>REVENUE</vt:lpstr>
      <vt:lpstr>IMPREST</vt:lpstr>
      <vt:lpstr>EXPENSE GROUPING</vt:lpstr>
      <vt:lpstr>FIN. REPORT</vt:lpstr>
      <vt:lpstr>Sheet3</vt:lpstr>
      <vt:lpstr>MAINTENANCE-OFFICE SUPPLIES</vt:lpstr>
      <vt:lpstr>MEDICATIONS</vt:lpstr>
      <vt:lpstr>Sheet1</vt:lpstr>
      <vt:lpstr>CLOSING STOCK</vt:lpstr>
      <vt:lpstr>Sheet2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ACIU NA-EBUBE ENA</dc:creator>
  <cp:lastModifiedBy>DELL</cp:lastModifiedBy>
  <cp:lastPrinted>2025-03-22T01:33:18Z</cp:lastPrinted>
  <dcterms:created xsi:type="dcterms:W3CDTF">2021-07-05T08:45:26Z</dcterms:created>
  <dcterms:modified xsi:type="dcterms:W3CDTF">2026-08-27T00:32:17Z</dcterms:modified>
</cp:coreProperties>
</file>