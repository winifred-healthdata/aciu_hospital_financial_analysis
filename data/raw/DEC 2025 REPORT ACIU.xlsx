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8_{8464295B-B683-42E7-8B89-D8C568C160FA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REVENUE" sheetId="2" r:id="rId1"/>
    <sheet name="GEN.EXPENSES" sheetId="3" r:id="rId2"/>
    <sheet name="FIN. REPORT" sheetId="5" r:id="rId3"/>
    <sheet name="MAINTENANCE-OFFICE SUPPLIES" sheetId="7" r:id="rId4"/>
    <sheet name="MEDICATIONS" sheetId="8" r:id="rId5"/>
    <sheet name="SUMMARY" sheetId="10" r:id="rId6"/>
    <sheet name="LAB." sheetId="11" r:id="rId7"/>
    <sheet name="STOCK" sheetId="13" r:id="rId8"/>
    <sheet name="CLOSING STOCK" sheetId="14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0" i="13" l="1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29" i="13"/>
  <c r="J28" i="13"/>
  <c r="J27" i="13"/>
  <c r="J26" i="13"/>
  <c r="J25" i="13"/>
  <c r="J24" i="13"/>
  <c r="F14" i="10"/>
  <c r="F6" i="10"/>
  <c r="F33" i="2"/>
  <c r="G33" i="2"/>
  <c r="G32" i="2"/>
  <c r="F32" i="2"/>
  <c r="F30" i="2"/>
  <c r="G30" i="2"/>
  <c r="G29" i="2"/>
  <c r="F29" i="2"/>
  <c r="F22" i="2"/>
  <c r="G22" i="2"/>
  <c r="F21" i="2"/>
  <c r="G21" i="2"/>
  <c r="F16" i="2"/>
  <c r="G16" i="2"/>
  <c r="F13" i="2"/>
  <c r="G13" i="2"/>
  <c r="G9" i="2"/>
  <c r="F9" i="2"/>
  <c r="F7" i="2"/>
  <c r="G7" i="2"/>
  <c r="F5" i="2"/>
  <c r="G5" i="2"/>
  <c r="D375" i="14"/>
  <c r="G375" i="14" s="1"/>
  <c r="I375" i="14" s="1"/>
  <c r="D374" i="14"/>
  <c r="G374" i="14" s="1"/>
  <c r="I374" i="14" s="1"/>
  <c r="D373" i="14"/>
  <c r="G373" i="14" s="1"/>
  <c r="I373" i="14" s="1"/>
  <c r="D372" i="14"/>
  <c r="G372" i="14" s="1"/>
  <c r="I372" i="14" s="1"/>
  <c r="D371" i="14"/>
  <c r="G371" i="14" s="1"/>
  <c r="I371" i="14" s="1"/>
  <c r="D370" i="14"/>
  <c r="G370" i="14" s="1"/>
  <c r="I370" i="14" s="1"/>
  <c r="D369" i="14"/>
  <c r="G369" i="14" s="1"/>
  <c r="I369" i="14" s="1"/>
  <c r="D368" i="14"/>
  <c r="G368" i="14" s="1"/>
  <c r="I368" i="14" s="1"/>
  <c r="D367" i="14"/>
  <c r="G367" i="14" s="1"/>
  <c r="I367" i="14" s="1"/>
  <c r="D366" i="14"/>
  <c r="G366" i="14" s="1"/>
  <c r="I366" i="14" s="1"/>
  <c r="D365" i="14"/>
  <c r="G365" i="14" s="1"/>
  <c r="I365" i="14" s="1"/>
  <c r="D364" i="14"/>
  <c r="G364" i="14" s="1"/>
  <c r="I364" i="14" s="1"/>
  <c r="D363" i="14"/>
  <c r="G363" i="14" s="1"/>
  <c r="I363" i="14" s="1"/>
  <c r="D362" i="14"/>
  <c r="G362" i="14" s="1"/>
  <c r="I362" i="14" s="1"/>
  <c r="D361" i="14"/>
  <c r="G361" i="14" s="1"/>
  <c r="I361" i="14" s="1"/>
  <c r="D360" i="14"/>
  <c r="G360" i="14" s="1"/>
  <c r="I360" i="14" s="1"/>
  <c r="D359" i="14"/>
  <c r="G359" i="14" s="1"/>
  <c r="I359" i="14" s="1"/>
  <c r="D358" i="14"/>
  <c r="G358" i="14" s="1"/>
  <c r="I358" i="14" s="1"/>
  <c r="D357" i="14"/>
  <c r="G357" i="14" s="1"/>
  <c r="I357" i="14" s="1"/>
  <c r="D356" i="14"/>
  <c r="G356" i="14" s="1"/>
  <c r="I356" i="14" s="1"/>
  <c r="D355" i="14"/>
  <c r="G355" i="14" s="1"/>
  <c r="I355" i="14" s="1"/>
  <c r="D354" i="14"/>
  <c r="G354" i="14" s="1"/>
  <c r="I354" i="14" s="1"/>
  <c r="D353" i="14"/>
  <c r="G353" i="14" s="1"/>
  <c r="I353" i="14" s="1"/>
  <c r="D352" i="14"/>
  <c r="G352" i="14" s="1"/>
  <c r="I352" i="14" s="1"/>
  <c r="D351" i="14"/>
  <c r="G351" i="14" s="1"/>
  <c r="I351" i="14" s="1"/>
  <c r="D350" i="14"/>
  <c r="G350" i="14" s="1"/>
  <c r="I350" i="14" s="1"/>
  <c r="D349" i="14"/>
  <c r="G349" i="14" s="1"/>
  <c r="I349" i="14" s="1"/>
  <c r="D348" i="14"/>
  <c r="G348" i="14" s="1"/>
  <c r="I348" i="14" s="1"/>
  <c r="D347" i="14"/>
  <c r="G347" i="14" s="1"/>
  <c r="I347" i="14" s="1"/>
  <c r="D346" i="14"/>
  <c r="G346" i="14" s="1"/>
  <c r="I346" i="14" s="1"/>
  <c r="D345" i="14"/>
  <c r="G345" i="14" s="1"/>
  <c r="I345" i="14" s="1"/>
  <c r="D344" i="14"/>
  <c r="G344" i="14" s="1"/>
  <c r="I344" i="14" s="1"/>
  <c r="D343" i="14"/>
  <c r="G343" i="14" s="1"/>
  <c r="I343" i="14" s="1"/>
  <c r="D342" i="14"/>
  <c r="G342" i="14" s="1"/>
  <c r="I342" i="14" s="1"/>
  <c r="D341" i="14"/>
  <c r="G341" i="14" s="1"/>
  <c r="I341" i="14" s="1"/>
  <c r="D340" i="14"/>
  <c r="G340" i="14" s="1"/>
  <c r="I340" i="14" s="1"/>
  <c r="D339" i="14"/>
  <c r="G339" i="14" s="1"/>
  <c r="I339" i="14" s="1"/>
  <c r="D338" i="14"/>
  <c r="G338" i="14" s="1"/>
  <c r="I338" i="14" s="1"/>
  <c r="D337" i="14"/>
  <c r="G337" i="14" s="1"/>
  <c r="I337" i="14" s="1"/>
  <c r="D336" i="14"/>
  <c r="G336" i="14" s="1"/>
  <c r="I336" i="14" s="1"/>
  <c r="D335" i="14"/>
  <c r="G335" i="14" s="1"/>
  <c r="I335" i="14" s="1"/>
  <c r="D334" i="14"/>
  <c r="G334" i="14" s="1"/>
  <c r="I334" i="14" s="1"/>
  <c r="D333" i="14"/>
  <c r="G333" i="14" s="1"/>
  <c r="I333" i="14" s="1"/>
  <c r="D332" i="14"/>
  <c r="G332" i="14" s="1"/>
  <c r="I332" i="14" s="1"/>
  <c r="D331" i="14"/>
  <c r="G331" i="14" s="1"/>
  <c r="I331" i="14" s="1"/>
  <c r="D330" i="14"/>
  <c r="G330" i="14" s="1"/>
  <c r="I330" i="14" s="1"/>
  <c r="D329" i="14"/>
  <c r="G329" i="14" s="1"/>
  <c r="I329" i="14" s="1"/>
  <c r="D328" i="14"/>
  <c r="G328" i="14" s="1"/>
  <c r="I328" i="14" s="1"/>
  <c r="D327" i="14"/>
  <c r="G327" i="14" s="1"/>
  <c r="I327" i="14" s="1"/>
  <c r="D326" i="14"/>
  <c r="G326" i="14" s="1"/>
  <c r="I326" i="14" s="1"/>
  <c r="D325" i="14"/>
  <c r="G325" i="14" s="1"/>
  <c r="I325" i="14" s="1"/>
  <c r="D324" i="14"/>
  <c r="G324" i="14" s="1"/>
  <c r="I324" i="14" s="1"/>
  <c r="D323" i="14"/>
  <c r="G323" i="14" s="1"/>
  <c r="I323" i="14" s="1"/>
  <c r="D322" i="14"/>
  <c r="G322" i="14" s="1"/>
  <c r="I322" i="14" s="1"/>
  <c r="D321" i="14"/>
  <c r="G321" i="14" s="1"/>
  <c r="I321" i="14" s="1"/>
  <c r="D320" i="14"/>
  <c r="G320" i="14" s="1"/>
  <c r="I320" i="14" s="1"/>
  <c r="D319" i="14"/>
  <c r="G319" i="14" s="1"/>
  <c r="I319" i="14" s="1"/>
  <c r="D318" i="14"/>
  <c r="G318" i="14" s="1"/>
  <c r="I318" i="14" s="1"/>
  <c r="D317" i="14"/>
  <c r="G317" i="14" s="1"/>
  <c r="I317" i="14" s="1"/>
  <c r="D316" i="14"/>
  <c r="G316" i="14" s="1"/>
  <c r="I316" i="14" s="1"/>
  <c r="D315" i="14"/>
  <c r="G315" i="14" s="1"/>
  <c r="I315" i="14" s="1"/>
  <c r="D314" i="14"/>
  <c r="G314" i="14" s="1"/>
  <c r="I314" i="14" s="1"/>
  <c r="D313" i="14"/>
  <c r="G313" i="14" s="1"/>
  <c r="I313" i="14" s="1"/>
  <c r="D312" i="14"/>
  <c r="G312" i="14" s="1"/>
  <c r="I312" i="14" s="1"/>
  <c r="D311" i="14"/>
  <c r="G311" i="14" s="1"/>
  <c r="I311" i="14" s="1"/>
  <c r="D310" i="14"/>
  <c r="G310" i="14" s="1"/>
  <c r="I310" i="14" s="1"/>
  <c r="D309" i="14"/>
  <c r="G309" i="14" s="1"/>
  <c r="I309" i="14" s="1"/>
  <c r="D308" i="14"/>
  <c r="G308" i="14" s="1"/>
  <c r="I308" i="14" s="1"/>
  <c r="D307" i="14"/>
  <c r="G307" i="14" s="1"/>
  <c r="I307" i="14" s="1"/>
  <c r="D306" i="14"/>
  <c r="G306" i="14" s="1"/>
  <c r="I306" i="14" s="1"/>
  <c r="D305" i="14"/>
  <c r="G305" i="14" s="1"/>
  <c r="D304" i="14"/>
  <c r="G304" i="14" s="1"/>
  <c r="I304" i="14" s="1"/>
  <c r="D303" i="14"/>
  <c r="G303" i="14" s="1"/>
  <c r="I303" i="14" s="1"/>
  <c r="D302" i="14"/>
  <c r="G302" i="14" s="1"/>
  <c r="I302" i="14" s="1"/>
  <c r="D301" i="14"/>
  <c r="G301" i="14" s="1"/>
  <c r="I301" i="14" s="1"/>
  <c r="D300" i="14"/>
  <c r="G300" i="14" s="1"/>
  <c r="I300" i="14" s="1"/>
  <c r="D299" i="14"/>
  <c r="G299" i="14" s="1"/>
  <c r="I299" i="14" s="1"/>
  <c r="D298" i="14"/>
  <c r="G298" i="14" s="1"/>
  <c r="I298" i="14" s="1"/>
  <c r="D297" i="14"/>
  <c r="G297" i="14" s="1"/>
  <c r="I297" i="14" s="1"/>
  <c r="D296" i="14"/>
  <c r="G296" i="14" s="1"/>
  <c r="I296" i="14" s="1"/>
  <c r="D295" i="14"/>
  <c r="G295" i="14" s="1"/>
  <c r="I295" i="14" s="1"/>
  <c r="D294" i="14"/>
  <c r="G294" i="14" s="1"/>
  <c r="I294" i="14" s="1"/>
  <c r="D293" i="14"/>
  <c r="G293" i="14" s="1"/>
  <c r="I293" i="14" s="1"/>
  <c r="D292" i="14"/>
  <c r="G292" i="14" s="1"/>
  <c r="I292" i="14" s="1"/>
  <c r="D291" i="14"/>
  <c r="G291" i="14" s="1"/>
  <c r="I291" i="14" s="1"/>
  <c r="D290" i="14"/>
  <c r="G290" i="14" s="1"/>
  <c r="I290" i="14" s="1"/>
  <c r="D289" i="14"/>
  <c r="G289" i="14" s="1"/>
  <c r="I289" i="14" s="1"/>
  <c r="D288" i="14"/>
  <c r="G288" i="14" s="1"/>
  <c r="I288" i="14" s="1"/>
  <c r="D287" i="14"/>
  <c r="G287" i="14" s="1"/>
  <c r="I287" i="14" s="1"/>
  <c r="D286" i="14"/>
  <c r="G286" i="14" s="1"/>
  <c r="I286" i="14" s="1"/>
  <c r="D285" i="14"/>
  <c r="G285" i="14" s="1"/>
  <c r="I285" i="14" s="1"/>
  <c r="D284" i="14"/>
  <c r="G284" i="14" s="1"/>
  <c r="I284" i="14" s="1"/>
  <c r="D283" i="14"/>
  <c r="G283" i="14" s="1"/>
  <c r="I283" i="14" s="1"/>
  <c r="D282" i="14"/>
  <c r="G282" i="14" s="1"/>
  <c r="I282" i="14" s="1"/>
  <c r="D281" i="14"/>
  <c r="G281" i="14" s="1"/>
  <c r="I281" i="14" s="1"/>
  <c r="D280" i="14"/>
  <c r="G280" i="14" s="1"/>
  <c r="I280" i="14" s="1"/>
  <c r="G279" i="14"/>
  <c r="I279" i="14" s="1"/>
  <c r="D277" i="14"/>
  <c r="G277" i="14" s="1"/>
  <c r="I277" i="14" s="1"/>
  <c r="D276" i="14"/>
  <c r="G276" i="14" s="1"/>
  <c r="I276" i="14" s="1"/>
  <c r="D275" i="14"/>
  <c r="G275" i="14" s="1"/>
  <c r="I275" i="14" s="1"/>
  <c r="D274" i="14"/>
  <c r="G274" i="14" s="1"/>
  <c r="I274" i="14" s="1"/>
  <c r="D273" i="14"/>
  <c r="G273" i="14" s="1"/>
  <c r="I273" i="14" s="1"/>
  <c r="D272" i="14"/>
  <c r="G272" i="14" s="1"/>
  <c r="I272" i="14" s="1"/>
  <c r="D271" i="14"/>
  <c r="G271" i="14" s="1"/>
  <c r="I271" i="14" s="1"/>
  <c r="D270" i="14"/>
  <c r="G270" i="14" s="1"/>
  <c r="I270" i="14" s="1"/>
  <c r="D269" i="14"/>
  <c r="G269" i="14" s="1"/>
  <c r="I269" i="14" s="1"/>
  <c r="D268" i="14"/>
  <c r="G268" i="14" s="1"/>
  <c r="I268" i="14" s="1"/>
  <c r="D267" i="14"/>
  <c r="G267" i="14" s="1"/>
  <c r="I267" i="14" s="1"/>
  <c r="D266" i="14"/>
  <c r="G266" i="14" s="1"/>
  <c r="I266" i="14" s="1"/>
  <c r="D265" i="14"/>
  <c r="G265" i="14" s="1"/>
  <c r="I265" i="14" s="1"/>
  <c r="D264" i="14"/>
  <c r="G264" i="14" s="1"/>
  <c r="I264" i="14" s="1"/>
  <c r="D263" i="14"/>
  <c r="G263" i="14" s="1"/>
  <c r="I263" i="14" s="1"/>
  <c r="D262" i="14"/>
  <c r="G262" i="14" s="1"/>
  <c r="I262" i="14" s="1"/>
  <c r="D261" i="14"/>
  <c r="G261" i="14" s="1"/>
  <c r="I261" i="14" s="1"/>
  <c r="D260" i="14"/>
  <c r="G260" i="14" s="1"/>
  <c r="I260" i="14" s="1"/>
  <c r="D259" i="14"/>
  <c r="G259" i="14" s="1"/>
  <c r="I259" i="14" s="1"/>
  <c r="D258" i="14"/>
  <c r="G258" i="14" s="1"/>
  <c r="I258" i="14" s="1"/>
  <c r="D257" i="14"/>
  <c r="G257" i="14" s="1"/>
  <c r="I257" i="14" s="1"/>
  <c r="D256" i="14"/>
  <c r="G256" i="14" s="1"/>
  <c r="I256" i="14" s="1"/>
  <c r="D255" i="14"/>
  <c r="G255" i="14" s="1"/>
  <c r="I255" i="14" s="1"/>
  <c r="I254" i="14"/>
  <c r="D254" i="14"/>
  <c r="D253" i="14"/>
  <c r="G253" i="14" s="1"/>
  <c r="I253" i="14" s="1"/>
  <c r="D252" i="14"/>
  <c r="G252" i="14" s="1"/>
  <c r="I252" i="14" s="1"/>
  <c r="D251" i="14"/>
  <c r="G251" i="14" s="1"/>
  <c r="I251" i="14" s="1"/>
  <c r="D250" i="14"/>
  <c r="G250" i="14" s="1"/>
  <c r="I250" i="14" s="1"/>
  <c r="D249" i="14"/>
  <c r="G249" i="14" s="1"/>
  <c r="I249" i="14" s="1"/>
  <c r="D248" i="14"/>
  <c r="G248" i="14" s="1"/>
  <c r="I248" i="14" s="1"/>
  <c r="D247" i="14"/>
  <c r="G247" i="14" s="1"/>
  <c r="I247" i="14" s="1"/>
  <c r="D246" i="14"/>
  <c r="G246" i="14" s="1"/>
  <c r="I246" i="14" s="1"/>
  <c r="D245" i="14"/>
  <c r="G245" i="14" s="1"/>
  <c r="I245" i="14" s="1"/>
  <c r="D244" i="14"/>
  <c r="G244" i="14" s="1"/>
  <c r="I244" i="14" s="1"/>
  <c r="D243" i="14"/>
  <c r="G243" i="14" s="1"/>
  <c r="I243" i="14" s="1"/>
  <c r="D242" i="14"/>
  <c r="G242" i="14" s="1"/>
  <c r="D241" i="14"/>
  <c r="G241" i="14" s="1"/>
  <c r="I241" i="14" s="1"/>
  <c r="D240" i="14"/>
  <c r="G240" i="14" s="1"/>
  <c r="I240" i="14" s="1"/>
  <c r="D239" i="14"/>
  <c r="G239" i="14" s="1"/>
  <c r="I239" i="14" s="1"/>
  <c r="D238" i="14"/>
  <c r="G238" i="14" s="1"/>
  <c r="I238" i="14" s="1"/>
  <c r="D237" i="14"/>
  <c r="G237" i="14" s="1"/>
  <c r="I237" i="14" s="1"/>
  <c r="D236" i="14"/>
  <c r="G236" i="14" s="1"/>
  <c r="I236" i="14" s="1"/>
  <c r="D235" i="14"/>
  <c r="G235" i="14" s="1"/>
  <c r="I235" i="14" s="1"/>
  <c r="D234" i="14"/>
  <c r="G234" i="14" s="1"/>
  <c r="I234" i="14" s="1"/>
  <c r="D233" i="14"/>
  <c r="G233" i="14" s="1"/>
  <c r="I233" i="14" s="1"/>
  <c r="D232" i="14"/>
  <c r="G232" i="14" s="1"/>
  <c r="I232" i="14" s="1"/>
  <c r="D231" i="14"/>
  <c r="G231" i="14" s="1"/>
  <c r="I231" i="14" s="1"/>
  <c r="D230" i="14"/>
  <c r="G230" i="14" s="1"/>
  <c r="I230" i="14" s="1"/>
  <c r="D229" i="14"/>
  <c r="G229" i="14" s="1"/>
  <c r="I229" i="14" s="1"/>
  <c r="D228" i="14"/>
  <c r="G228" i="14" s="1"/>
  <c r="I228" i="14" s="1"/>
  <c r="D227" i="14"/>
  <c r="G227" i="14" s="1"/>
  <c r="I227" i="14" s="1"/>
  <c r="D226" i="14"/>
  <c r="G226" i="14" s="1"/>
  <c r="I226" i="14" s="1"/>
  <c r="D225" i="14"/>
  <c r="G225" i="14" s="1"/>
  <c r="I225" i="14" s="1"/>
  <c r="D224" i="14"/>
  <c r="G224" i="14" s="1"/>
  <c r="I224" i="14" s="1"/>
  <c r="D223" i="14"/>
  <c r="G223" i="14" s="1"/>
  <c r="I223" i="14" s="1"/>
  <c r="D222" i="14"/>
  <c r="G222" i="14" s="1"/>
  <c r="I222" i="14" s="1"/>
  <c r="D221" i="14"/>
  <c r="G221" i="14" s="1"/>
  <c r="I221" i="14" s="1"/>
  <c r="D220" i="14"/>
  <c r="G220" i="14" s="1"/>
  <c r="I220" i="14" s="1"/>
  <c r="D219" i="14"/>
  <c r="G219" i="14" s="1"/>
  <c r="I219" i="14" s="1"/>
  <c r="D218" i="14"/>
  <c r="G218" i="14" s="1"/>
  <c r="I218" i="14" s="1"/>
  <c r="D217" i="14"/>
  <c r="G217" i="14" s="1"/>
  <c r="I217" i="14" s="1"/>
  <c r="D216" i="14"/>
  <c r="G216" i="14" s="1"/>
  <c r="I216" i="14" s="1"/>
  <c r="D215" i="14"/>
  <c r="G215" i="14" s="1"/>
  <c r="I215" i="14" s="1"/>
  <c r="D214" i="14"/>
  <c r="G214" i="14" s="1"/>
  <c r="I214" i="14" s="1"/>
  <c r="D213" i="14"/>
  <c r="G213" i="14" s="1"/>
  <c r="I213" i="14" s="1"/>
  <c r="D212" i="14"/>
  <c r="G212" i="14" s="1"/>
  <c r="I212" i="14" s="1"/>
  <c r="D211" i="14"/>
  <c r="G211" i="14" s="1"/>
  <c r="I211" i="14" s="1"/>
  <c r="D209" i="14"/>
  <c r="G209" i="14" s="1"/>
  <c r="I209" i="14" s="1"/>
  <c r="D208" i="14"/>
  <c r="G208" i="14" s="1"/>
  <c r="I208" i="14" s="1"/>
  <c r="D207" i="14"/>
  <c r="G207" i="14" s="1"/>
  <c r="D206" i="14"/>
  <c r="G206" i="14" s="1"/>
  <c r="I206" i="14" s="1"/>
  <c r="D205" i="14"/>
  <c r="G205" i="14" s="1"/>
  <c r="I205" i="14" s="1"/>
  <c r="D204" i="14"/>
  <c r="G204" i="14" s="1"/>
  <c r="I204" i="14" s="1"/>
  <c r="D203" i="14"/>
  <c r="G203" i="14" s="1"/>
  <c r="I203" i="14" s="1"/>
  <c r="D202" i="14"/>
  <c r="G202" i="14" s="1"/>
  <c r="I202" i="14" s="1"/>
  <c r="D201" i="14"/>
  <c r="G201" i="14" s="1"/>
  <c r="I201" i="14" s="1"/>
  <c r="D200" i="14"/>
  <c r="G200" i="14" s="1"/>
  <c r="I200" i="14" s="1"/>
  <c r="D199" i="14"/>
  <c r="G199" i="14" s="1"/>
  <c r="I199" i="14" s="1"/>
  <c r="D198" i="14"/>
  <c r="G198" i="14" s="1"/>
  <c r="I198" i="14" s="1"/>
  <c r="D197" i="14"/>
  <c r="G197" i="14" s="1"/>
  <c r="I197" i="14" s="1"/>
  <c r="D196" i="14"/>
  <c r="G196" i="14" s="1"/>
  <c r="I196" i="14" s="1"/>
  <c r="D195" i="14"/>
  <c r="G195" i="14" s="1"/>
  <c r="I195" i="14" s="1"/>
  <c r="D194" i="14"/>
  <c r="G194" i="14" s="1"/>
  <c r="I194" i="14" s="1"/>
  <c r="D193" i="14"/>
  <c r="G193" i="14" s="1"/>
  <c r="I193" i="14" s="1"/>
  <c r="D192" i="14"/>
  <c r="G192" i="14" s="1"/>
  <c r="I192" i="14" s="1"/>
  <c r="D191" i="14"/>
  <c r="G191" i="14" s="1"/>
  <c r="I191" i="14" s="1"/>
  <c r="D190" i="14"/>
  <c r="G190" i="14" s="1"/>
  <c r="I190" i="14" s="1"/>
  <c r="D189" i="14"/>
  <c r="G189" i="14" s="1"/>
  <c r="I189" i="14" s="1"/>
  <c r="D188" i="14"/>
  <c r="G188" i="14" s="1"/>
  <c r="I188" i="14" s="1"/>
  <c r="D187" i="14"/>
  <c r="G187" i="14" s="1"/>
  <c r="I187" i="14" s="1"/>
  <c r="D186" i="14"/>
  <c r="G186" i="14" s="1"/>
  <c r="I186" i="14" s="1"/>
  <c r="D185" i="14"/>
  <c r="G185" i="14" s="1"/>
  <c r="I185" i="14" s="1"/>
  <c r="D184" i="14"/>
  <c r="G184" i="14" s="1"/>
  <c r="I184" i="14" s="1"/>
  <c r="D183" i="14"/>
  <c r="G183" i="14" s="1"/>
  <c r="I183" i="14" s="1"/>
  <c r="D182" i="14"/>
  <c r="G182" i="14" s="1"/>
  <c r="D181" i="14"/>
  <c r="G181" i="14" s="1"/>
  <c r="D180" i="14"/>
  <c r="G180" i="14" s="1"/>
  <c r="I180" i="14" s="1"/>
  <c r="D179" i="14"/>
  <c r="G179" i="14" s="1"/>
  <c r="I179" i="14" s="1"/>
  <c r="D178" i="14"/>
  <c r="G178" i="14" s="1"/>
  <c r="I178" i="14" s="1"/>
  <c r="D177" i="14"/>
  <c r="G177" i="14" s="1"/>
  <c r="I177" i="14" s="1"/>
  <c r="D176" i="14"/>
  <c r="G176" i="14" s="1"/>
  <c r="I176" i="14" s="1"/>
  <c r="D175" i="14"/>
  <c r="G175" i="14" s="1"/>
  <c r="I175" i="14" s="1"/>
  <c r="D174" i="14"/>
  <c r="G174" i="14" s="1"/>
  <c r="I174" i="14" s="1"/>
  <c r="D173" i="14"/>
  <c r="G173" i="14" s="1"/>
  <c r="I173" i="14" s="1"/>
  <c r="D172" i="14"/>
  <c r="G172" i="14" s="1"/>
  <c r="I172" i="14" s="1"/>
  <c r="D171" i="14"/>
  <c r="G171" i="14" s="1"/>
  <c r="I171" i="14" s="1"/>
  <c r="D170" i="14"/>
  <c r="G170" i="14" s="1"/>
  <c r="I170" i="14" s="1"/>
  <c r="D169" i="14"/>
  <c r="G169" i="14" s="1"/>
  <c r="I169" i="14" s="1"/>
  <c r="D168" i="14"/>
  <c r="G168" i="14" s="1"/>
  <c r="I168" i="14" s="1"/>
  <c r="D167" i="14"/>
  <c r="G167" i="14" s="1"/>
  <c r="I167" i="14" s="1"/>
  <c r="D166" i="14"/>
  <c r="G166" i="14" s="1"/>
  <c r="I166" i="14" s="1"/>
  <c r="D165" i="14"/>
  <c r="G165" i="14" s="1"/>
  <c r="I165" i="14" s="1"/>
  <c r="D164" i="14"/>
  <c r="G164" i="14" s="1"/>
  <c r="I164" i="14" s="1"/>
  <c r="D163" i="14"/>
  <c r="G163" i="14" s="1"/>
  <c r="I163" i="14" s="1"/>
  <c r="D162" i="14"/>
  <c r="G162" i="14" s="1"/>
  <c r="I162" i="14" s="1"/>
  <c r="I161" i="14"/>
  <c r="D160" i="14"/>
  <c r="G160" i="14" s="1"/>
  <c r="I160" i="14" s="1"/>
  <c r="D159" i="14"/>
  <c r="G159" i="14" s="1"/>
  <c r="I159" i="14" s="1"/>
  <c r="D158" i="14"/>
  <c r="G158" i="14" s="1"/>
  <c r="I158" i="14" s="1"/>
  <c r="D157" i="14"/>
  <c r="G157" i="14" s="1"/>
  <c r="I157" i="14" s="1"/>
  <c r="D156" i="14"/>
  <c r="G156" i="14" s="1"/>
  <c r="I156" i="14" s="1"/>
  <c r="D155" i="14"/>
  <c r="G155" i="14" s="1"/>
  <c r="I155" i="14" s="1"/>
  <c r="I154" i="14"/>
  <c r="D154" i="14"/>
  <c r="D153" i="14"/>
  <c r="G153" i="14" s="1"/>
  <c r="I153" i="14" s="1"/>
  <c r="D152" i="14"/>
  <c r="G152" i="14" s="1"/>
  <c r="I152" i="14" s="1"/>
  <c r="D151" i="14"/>
  <c r="G151" i="14" s="1"/>
  <c r="I151" i="14" s="1"/>
  <c r="D150" i="14"/>
  <c r="G150" i="14" s="1"/>
  <c r="I150" i="14" s="1"/>
  <c r="D149" i="14"/>
  <c r="G149" i="14" s="1"/>
  <c r="I149" i="14" s="1"/>
  <c r="D148" i="14"/>
  <c r="G148" i="14" s="1"/>
  <c r="I148" i="14" s="1"/>
  <c r="D147" i="14"/>
  <c r="G147" i="14" s="1"/>
  <c r="I147" i="14" s="1"/>
  <c r="D146" i="14"/>
  <c r="G146" i="14" s="1"/>
  <c r="I146" i="14" s="1"/>
  <c r="D145" i="14"/>
  <c r="G145" i="14" s="1"/>
  <c r="I145" i="14" s="1"/>
  <c r="D144" i="14"/>
  <c r="G144" i="14" s="1"/>
  <c r="I144" i="14" s="1"/>
  <c r="D143" i="14"/>
  <c r="G143" i="14" s="1"/>
  <c r="I143" i="14" s="1"/>
  <c r="D142" i="14"/>
  <c r="G142" i="14" s="1"/>
  <c r="I142" i="14" s="1"/>
  <c r="D141" i="14"/>
  <c r="G141" i="14" s="1"/>
  <c r="I141" i="14" s="1"/>
  <c r="D140" i="14"/>
  <c r="G140" i="14" s="1"/>
  <c r="I140" i="14" s="1"/>
  <c r="D139" i="14"/>
  <c r="G139" i="14" s="1"/>
  <c r="I139" i="14" s="1"/>
  <c r="D138" i="14"/>
  <c r="G138" i="14" s="1"/>
  <c r="I138" i="14" s="1"/>
  <c r="D137" i="14"/>
  <c r="G137" i="14" s="1"/>
  <c r="I137" i="14" s="1"/>
  <c r="D136" i="14"/>
  <c r="G136" i="14" s="1"/>
  <c r="I136" i="14" s="1"/>
  <c r="D135" i="14"/>
  <c r="G135" i="14" s="1"/>
  <c r="I135" i="14" s="1"/>
  <c r="D134" i="14"/>
  <c r="G134" i="14" s="1"/>
  <c r="I134" i="14" s="1"/>
  <c r="D133" i="14"/>
  <c r="G133" i="14" s="1"/>
  <c r="I133" i="14" s="1"/>
  <c r="D132" i="14"/>
  <c r="G132" i="14" s="1"/>
  <c r="I132" i="14" s="1"/>
  <c r="D131" i="14"/>
  <c r="G131" i="14" s="1"/>
  <c r="I131" i="14" s="1"/>
  <c r="D130" i="14"/>
  <c r="G130" i="14" s="1"/>
  <c r="I130" i="14" s="1"/>
  <c r="D129" i="14"/>
  <c r="G129" i="14" s="1"/>
  <c r="I129" i="14" s="1"/>
  <c r="D128" i="14"/>
  <c r="G128" i="14" s="1"/>
  <c r="I128" i="14" s="1"/>
  <c r="D127" i="14"/>
  <c r="G127" i="14" s="1"/>
  <c r="I127" i="14" s="1"/>
  <c r="D126" i="14"/>
  <c r="G126" i="14" s="1"/>
  <c r="I126" i="14" s="1"/>
  <c r="D125" i="14"/>
  <c r="G125" i="14" s="1"/>
  <c r="I125" i="14" s="1"/>
  <c r="D124" i="14"/>
  <c r="G124" i="14" s="1"/>
  <c r="I124" i="14" s="1"/>
  <c r="D123" i="14"/>
  <c r="G123" i="14" s="1"/>
  <c r="I123" i="14" s="1"/>
  <c r="D122" i="14"/>
  <c r="G122" i="14" s="1"/>
  <c r="I122" i="14" s="1"/>
  <c r="D121" i="14"/>
  <c r="G121" i="14" s="1"/>
  <c r="I121" i="14" s="1"/>
  <c r="D120" i="14"/>
  <c r="G120" i="14" s="1"/>
  <c r="I120" i="14" s="1"/>
  <c r="D119" i="14"/>
  <c r="G119" i="14" s="1"/>
  <c r="I119" i="14" s="1"/>
  <c r="D118" i="14"/>
  <c r="G118" i="14" s="1"/>
  <c r="I118" i="14" s="1"/>
  <c r="D117" i="14"/>
  <c r="G117" i="14" s="1"/>
  <c r="I117" i="14" s="1"/>
  <c r="D116" i="14"/>
  <c r="G116" i="14" s="1"/>
  <c r="I116" i="14" s="1"/>
  <c r="D115" i="14"/>
  <c r="G115" i="14" s="1"/>
  <c r="I115" i="14" s="1"/>
  <c r="D114" i="14"/>
  <c r="G114" i="14" s="1"/>
  <c r="I114" i="14" s="1"/>
  <c r="D113" i="14"/>
  <c r="G113" i="14" s="1"/>
  <c r="I113" i="14" s="1"/>
  <c r="D112" i="14"/>
  <c r="G112" i="14" s="1"/>
  <c r="I112" i="14" s="1"/>
  <c r="D110" i="14"/>
  <c r="G110" i="14" s="1"/>
  <c r="I110" i="14" s="1"/>
  <c r="D109" i="14"/>
  <c r="G109" i="14" s="1"/>
  <c r="I109" i="14" s="1"/>
  <c r="D108" i="14"/>
  <c r="G108" i="14" s="1"/>
  <c r="I108" i="14" s="1"/>
  <c r="D107" i="14"/>
  <c r="G107" i="14" s="1"/>
  <c r="I107" i="14" s="1"/>
  <c r="D106" i="14"/>
  <c r="G106" i="14" s="1"/>
  <c r="I106" i="14" s="1"/>
  <c r="D105" i="14"/>
  <c r="G105" i="14" s="1"/>
  <c r="I105" i="14" s="1"/>
  <c r="D104" i="14"/>
  <c r="G104" i="14" s="1"/>
  <c r="I104" i="14" s="1"/>
  <c r="D103" i="14"/>
  <c r="G103" i="14" s="1"/>
  <c r="I103" i="14" s="1"/>
  <c r="D102" i="14"/>
  <c r="G102" i="14" s="1"/>
  <c r="I102" i="14" s="1"/>
  <c r="D101" i="14"/>
  <c r="G101" i="14" s="1"/>
  <c r="I101" i="14" s="1"/>
  <c r="D100" i="14"/>
  <c r="G100" i="14" s="1"/>
  <c r="I100" i="14" s="1"/>
  <c r="D99" i="14"/>
  <c r="G99" i="14" s="1"/>
  <c r="I99" i="14" s="1"/>
  <c r="D98" i="14"/>
  <c r="G98" i="14" s="1"/>
  <c r="I98" i="14" s="1"/>
  <c r="D97" i="14"/>
  <c r="G97" i="14" s="1"/>
  <c r="I97" i="14" s="1"/>
  <c r="D96" i="14"/>
  <c r="G96" i="14" s="1"/>
  <c r="I96" i="14" s="1"/>
  <c r="D95" i="14"/>
  <c r="G95" i="14" s="1"/>
  <c r="I95" i="14" s="1"/>
  <c r="D94" i="14"/>
  <c r="G94" i="14" s="1"/>
  <c r="I94" i="14" s="1"/>
  <c r="D93" i="14"/>
  <c r="G93" i="14" s="1"/>
  <c r="I93" i="14" s="1"/>
  <c r="D92" i="14"/>
  <c r="G92" i="14" s="1"/>
  <c r="I92" i="14" s="1"/>
  <c r="G91" i="14"/>
  <c r="I91" i="14" s="1"/>
  <c r="D90" i="14"/>
  <c r="G90" i="14" s="1"/>
  <c r="I90" i="14" s="1"/>
  <c r="D89" i="14"/>
  <c r="G89" i="14" s="1"/>
  <c r="I89" i="14" s="1"/>
  <c r="D88" i="14"/>
  <c r="G88" i="14" s="1"/>
  <c r="I88" i="14" s="1"/>
  <c r="D87" i="14"/>
  <c r="G87" i="14" s="1"/>
  <c r="I87" i="14" s="1"/>
  <c r="D86" i="14"/>
  <c r="G86" i="14" s="1"/>
  <c r="I86" i="14" s="1"/>
  <c r="D85" i="14"/>
  <c r="G85" i="14" s="1"/>
  <c r="I85" i="14" s="1"/>
  <c r="D84" i="14"/>
  <c r="G84" i="14" s="1"/>
  <c r="I84" i="14" s="1"/>
  <c r="D83" i="14"/>
  <c r="G83" i="14" s="1"/>
  <c r="I83" i="14" s="1"/>
  <c r="D82" i="14"/>
  <c r="G82" i="14" s="1"/>
  <c r="I82" i="14" s="1"/>
  <c r="D80" i="14"/>
  <c r="G80" i="14" s="1"/>
  <c r="I80" i="14" s="1"/>
  <c r="D79" i="14"/>
  <c r="G79" i="14" s="1"/>
  <c r="I79" i="14" s="1"/>
  <c r="D78" i="14"/>
  <c r="G78" i="14" s="1"/>
  <c r="I78" i="14" s="1"/>
  <c r="D77" i="14"/>
  <c r="G77" i="14" s="1"/>
  <c r="I77" i="14" s="1"/>
  <c r="D76" i="14"/>
  <c r="G76" i="14" s="1"/>
  <c r="I76" i="14" s="1"/>
  <c r="D75" i="14"/>
  <c r="G75" i="14" s="1"/>
  <c r="I75" i="14" s="1"/>
  <c r="D74" i="14"/>
  <c r="G74" i="14" s="1"/>
  <c r="I74" i="14" s="1"/>
  <c r="D73" i="14"/>
  <c r="G73" i="14" s="1"/>
  <c r="I73" i="14" s="1"/>
  <c r="D72" i="14"/>
  <c r="G72" i="14" s="1"/>
  <c r="I72" i="14" s="1"/>
  <c r="D71" i="14"/>
  <c r="G71" i="14" s="1"/>
  <c r="I71" i="14" s="1"/>
  <c r="D70" i="14"/>
  <c r="G70" i="14" s="1"/>
  <c r="I70" i="14" s="1"/>
  <c r="D69" i="14"/>
  <c r="G69" i="14" s="1"/>
  <c r="I69" i="14" s="1"/>
  <c r="D68" i="14"/>
  <c r="G68" i="14" s="1"/>
  <c r="I68" i="14" s="1"/>
  <c r="D67" i="14"/>
  <c r="G67" i="14" s="1"/>
  <c r="I67" i="14" s="1"/>
  <c r="D66" i="14"/>
  <c r="G66" i="14" s="1"/>
  <c r="I66" i="14" s="1"/>
  <c r="D65" i="14"/>
  <c r="G65" i="14" s="1"/>
  <c r="I65" i="14" s="1"/>
  <c r="D64" i="14"/>
  <c r="G64" i="14" s="1"/>
  <c r="I64" i="14" s="1"/>
  <c r="D63" i="14"/>
  <c r="G63" i="14" s="1"/>
  <c r="I63" i="14" s="1"/>
  <c r="D62" i="14"/>
  <c r="G62" i="14" s="1"/>
  <c r="I62" i="14" s="1"/>
  <c r="D61" i="14"/>
  <c r="G61" i="14" s="1"/>
  <c r="I61" i="14" s="1"/>
  <c r="D60" i="14"/>
  <c r="G60" i="14" s="1"/>
  <c r="I60" i="14" s="1"/>
  <c r="D59" i="14"/>
  <c r="G59" i="14" s="1"/>
  <c r="I59" i="14" s="1"/>
  <c r="D58" i="14"/>
  <c r="G58" i="14" s="1"/>
  <c r="I58" i="14" s="1"/>
  <c r="D57" i="14"/>
  <c r="G57" i="14" s="1"/>
  <c r="I57" i="14" s="1"/>
  <c r="D56" i="14"/>
  <c r="G56" i="14" s="1"/>
  <c r="I56" i="14" s="1"/>
  <c r="D55" i="14"/>
  <c r="G55" i="14" s="1"/>
  <c r="I55" i="14" s="1"/>
  <c r="D54" i="14"/>
  <c r="G54" i="14" s="1"/>
  <c r="I54" i="14" s="1"/>
  <c r="D53" i="14"/>
  <c r="G53" i="14" s="1"/>
  <c r="I53" i="14" s="1"/>
  <c r="D52" i="14"/>
  <c r="G52" i="14" s="1"/>
  <c r="I52" i="14" s="1"/>
  <c r="D51" i="14"/>
  <c r="G51" i="14" s="1"/>
  <c r="I51" i="14" s="1"/>
  <c r="D50" i="14"/>
  <c r="G50" i="14" s="1"/>
  <c r="I50" i="14" s="1"/>
  <c r="D49" i="14"/>
  <c r="G49" i="14" s="1"/>
  <c r="I49" i="14" s="1"/>
  <c r="D48" i="14"/>
  <c r="G48" i="14" s="1"/>
  <c r="I48" i="14" s="1"/>
  <c r="D47" i="14"/>
  <c r="G47" i="14" s="1"/>
  <c r="I47" i="14" s="1"/>
  <c r="D46" i="14"/>
  <c r="G46" i="14" s="1"/>
  <c r="I46" i="14" s="1"/>
  <c r="D45" i="14"/>
  <c r="G45" i="14" s="1"/>
  <c r="I45" i="14" s="1"/>
  <c r="D44" i="14"/>
  <c r="G44" i="14" s="1"/>
  <c r="I44" i="14" s="1"/>
  <c r="D43" i="14"/>
  <c r="G43" i="14" s="1"/>
  <c r="I43" i="14" s="1"/>
  <c r="D42" i="14"/>
  <c r="G42" i="14" s="1"/>
  <c r="I42" i="14" s="1"/>
  <c r="D41" i="14"/>
  <c r="G41" i="14" s="1"/>
  <c r="I41" i="14" s="1"/>
  <c r="D40" i="14"/>
  <c r="G40" i="14" s="1"/>
  <c r="I40" i="14" s="1"/>
  <c r="D39" i="14"/>
  <c r="G39" i="14" s="1"/>
  <c r="I39" i="14" s="1"/>
  <c r="D38" i="14"/>
  <c r="G38" i="14" s="1"/>
  <c r="I38" i="14" s="1"/>
  <c r="D37" i="14"/>
  <c r="G37" i="14" s="1"/>
  <c r="I37" i="14" s="1"/>
  <c r="D36" i="14"/>
  <c r="G36" i="14" s="1"/>
  <c r="I36" i="14" s="1"/>
  <c r="D35" i="14"/>
  <c r="G35" i="14" s="1"/>
  <c r="I35" i="14" s="1"/>
  <c r="D34" i="14"/>
  <c r="G34" i="14" s="1"/>
  <c r="I34" i="14" s="1"/>
  <c r="D33" i="14"/>
  <c r="G33" i="14" s="1"/>
  <c r="I33" i="14" s="1"/>
  <c r="D32" i="14"/>
  <c r="G32" i="14" s="1"/>
  <c r="I32" i="14" s="1"/>
  <c r="D31" i="14"/>
  <c r="G31" i="14" s="1"/>
  <c r="I31" i="14" s="1"/>
  <c r="D30" i="14"/>
  <c r="G30" i="14" s="1"/>
  <c r="I30" i="14" s="1"/>
  <c r="D29" i="14"/>
  <c r="G29" i="14" s="1"/>
  <c r="I29" i="14" s="1"/>
  <c r="D28" i="14"/>
  <c r="G28" i="14" s="1"/>
  <c r="I28" i="14" s="1"/>
  <c r="G27" i="14"/>
  <c r="I27" i="14" s="1"/>
  <c r="D26" i="14"/>
  <c r="G26" i="14" s="1"/>
  <c r="I26" i="14" s="1"/>
  <c r="D25" i="14"/>
  <c r="G25" i="14" s="1"/>
  <c r="I25" i="14" s="1"/>
  <c r="D24" i="14"/>
  <c r="G24" i="14" s="1"/>
  <c r="I24" i="14" s="1"/>
  <c r="D23" i="14"/>
  <c r="G23" i="14" s="1"/>
  <c r="I23" i="14" s="1"/>
  <c r="D22" i="14"/>
  <c r="G22" i="14" s="1"/>
  <c r="I22" i="14" s="1"/>
  <c r="D21" i="14"/>
  <c r="G21" i="14" s="1"/>
  <c r="I21" i="14" s="1"/>
  <c r="D20" i="14"/>
  <c r="G20" i="14" s="1"/>
  <c r="I20" i="14" s="1"/>
  <c r="D19" i="14"/>
  <c r="G19" i="14" s="1"/>
  <c r="I19" i="14" s="1"/>
  <c r="D18" i="14"/>
  <c r="G18" i="14" s="1"/>
  <c r="I18" i="14" s="1"/>
  <c r="D17" i="14"/>
  <c r="G17" i="14" s="1"/>
  <c r="I17" i="14" s="1"/>
  <c r="D16" i="14"/>
  <c r="G16" i="14" s="1"/>
  <c r="I16" i="14" s="1"/>
  <c r="D15" i="14"/>
  <c r="G15" i="14" s="1"/>
  <c r="I15" i="14" s="1"/>
  <c r="D14" i="14"/>
  <c r="G14" i="14" s="1"/>
  <c r="I14" i="14" s="1"/>
  <c r="D13" i="14"/>
  <c r="G13" i="14" s="1"/>
  <c r="I13" i="14" s="1"/>
  <c r="D12" i="14"/>
  <c r="G12" i="14" s="1"/>
  <c r="I12" i="14" s="1"/>
  <c r="D11" i="14"/>
  <c r="G11" i="14" s="1"/>
  <c r="I11" i="14" s="1"/>
  <c r="D10" i="14"/>
  <c r="G10" i="14" s="1"/>
  <c r="I10" i="14" s="1"/>
  <c r="D9" i="14"/>
  <c r="G9" i="14" s="1"/>
  <c r="I9" i="14" s="1"/>
  <c r="D8" i="14"/>
  <c r="G8" i="14" s="1"/>
  <c r="I8" i="14" s="1"/>
  <c r="D7" i="14"/>
  <c r="G7" i="14" s="1"/>
  <c r="I7" i="14" s="1"/>
  <c r="D6" i="14"/>
  <c r="G6" i="14" s="1"/>
  <c r="I6" i="14" s="1"/>
  <c r="D5" i="14"/>
  <c r="G5" i="14" s="1"/>
  <c r="I5" i="14" s="1"/>
  <c r="D378" i="13"/>
  <c r="G378" i="13" s="1"/>
  <c r="I378" i="13" s="1"/>
  <c r="D377" i="13"/>
  <c r="G377" i="13" s="1"/>
  <c r="I377" i="13" s="1"/>
  <c r="D376" i="13"/>
  <c r="G376" i="13" s="1"/>
  <c r="I376" i="13" s="1"/>
  <c r="D375" i="13"/>
  <c r="G375" i="13" s="1"/>
  <c r="I375" i="13" s="1"/>
  <c r="D374" i="13"/>
  <c r="G374" i="13" s="1"/>
  <c r="I374" i="13" s="1"/>
  <c r="D373" i="13"/>
  <c r="G373" i="13" s="1"/>
  <c r="I373" i="13" s="1"/>
  <c r="D372" i="13"/>
  <c r="G372" i="13" s="1"/>
  <c r="I372" i="13" s="1"/>
  <c r="G371" i="13"/>
  <c r="I371" i="13" s="1"/>
  <c r="D371" i="13"/>
  <c r="D370" i="13"/>
  <c r="G370" i="13" s="1"/>
  <c r="I370" i="13" s="1"/>
  <c r="D369" i="13"/>
  <c r="G369" i="13" s="1"/>
  <c r="I369" i="13" s="1"/>
  <c r="D368" i="13"/>
  <c r="G368" i="13" s="1"/>
  <c r="I368" i="13" s="1"/>
  <c r="D367" i="13"/>
  <c r="G367" i="13" s="1"/>
  <c r="I367" i="13" s="1"/>
  <c r="D366" i="13"/>
  <c r="G366" i="13" s="1"/>
  <c r="I366" i="13" s="1"/>
  <c r="D365" i="13"/>
  <c r="G365" i="13" s="1"/>
  <c r="I365" i="13" s="1"/>
  <c r="D364" i="13"/>
  <c r="G364" i="13" s="1"/>
  <c r="I364" i="13" s="1"/>
  <c r="D363" i="13"/>
  <c r="G363" i="13" s="1"/>
  <c r="I363" i="13" s="1"/>
  <c r="D362" i="13"/>
  <c r="G362" i="13" s="1"/>
  <c r="I362" i="13" s="1"/>
  <c r="D361" i="13"/>
  <c r="G361" i="13" s="1"/>
  <c r="I361" i="13" s="1"/>
  <c r="D360" i="13"/>
  <c r="G360" i="13" s="1"/>
  <c r="I360" i="13" s="1"/>
  <c r="D359" i="13"/>
  <c r="G359" i="13" s="1"/>
  <c r="I359" i="13" s="1"/>
  <c r="D358" i="13"/>
  <c r="G358" i="13" s="1"/>
  <c r="I358" i="13" s="1"/>
  <c r="D357" i="13"/>
  <c r="G357" i="13" s="1"/>
  <c r="I357" i="13" s="1"/>
  <c r="D356" i="13"/>
  <c r="G356" i="13" s="1"/>
  <c r="I356" i="13" s="1"/>
  <c r="D355" i="13"/>
  <c r="G355" i="13" s="1"/>
  <c r="I355" i="13" s="1"/>
  <c r="D354" i="13"/>
  <c r="G354" i="13" s="1"/>
  <c r="I354" i="13" s="1"/>
  <c r="D353" i="13"/>
  <c r="G353" i="13" s="1"/>
  <c r="I353" i="13" s="1"/>
  <c r="D352" i="13"/>
  <c r="G352" i="13" s="1"/>
  <c r="I352" i="13" s="1"/>
  <c r="D351" i="13"/>
  <c r="G351" i="13" s="1"/>
  <c r="I351" i="13" s="1"/>
  <c r="D350" i="13"/>
  <c r="G350" i="13" s="1"/>
  <c r="I350" i="13" s="1"/>
  <c r="D349" i="13"/>
  <c r="G349" i="13" s="1"/>
  <c r="I349" i="13" s="1"/>
  <c r="D348" i="13"/>
  <c r="G348" i="13" s="1"/>
  <c r="I348" i="13" s="1"/>
  <c r="G347" i="13"/>
  <c r="I347" i="13" s="1"/>
  <c r="D347" i="13"/>
  <c r="D346" i="13"/>
  <c r="G346" i="13" s="1"/>
  <c r="I346" i="13" s="1"/>
  <c r="D345" i="13"/>
  <c r="G345" i="13" s="1"/>
  <c r="I345" i="13" s="1"/>
  <c r="D344" i="13"/>
  <c r="G344" i="13" s="1"/>
  <c r="I344" i="13" s="1"/>
  <c r="D343" i="13"/>
  <c r="G343" i="13" s="1"/>
  <c r="I343" i="13" s="1"/>
  <c r="D342" i="13"/>
  <c r="G342" i="13" s="1"/>
  <c r="I342" i="13" s="1"/>
  <c r="D341" i="13"/>
  <c r="G341" i="13" s="1"/>
  <c r="I341" i="13" s="1"/>
  <c r="D340" i="13"/>
  <c r="G340" i="13" s="1"/>
  <c r="I340" i="13" s="1"/>
  <c r="D339" i="13"/>
  <c r="G339" i="13" s="1"/>
  <c r="I339" i="13" s="1"/>
  <c r="D338" i="13"/>
  <c r="G338" i="13" s="1"/>
  <c r="I338" i="13" s="1"/>
  <c r="D337" i="13"/>
  <c r="G337" i="13" s="1"/>
  <c r="I337" i="13" s="1"/>
  <c r="D336" i="13"/>
  <c r="G336" i="13" s="1"/>
  <c r="I336" i="13" s="1"/>
  <c r="D335" i="13"/>
  <c r="G335" i="13" s="1"/>
  <c r="I335" i="13" s="1"/>
  <c r="D334" i="13"/>
  <c r="G334" i="13" s="1"/>
  <c r="I334" i="13" s="1"/>
  <c r="D333" i="13"/>
  <c r="G333" i="13" s="1"/>
  <c r="I333" i="13" s="1"/>
  <c r="D332" i="13"/>
  <c r="G332" i="13" s="1"/>
  <c r="I332" i="13" s="1"/>
  <c r="G331" i="13"/>
  <c r="I331" i="13" s="1"/>
  <c r="D331" i="13"/>
  <c r="D330" i="13"/>
  <c r="G330" i="13" s="1"/>
  <c r="I330" i="13" s="1"/>
  <c r="D329" i="13"/>
  <c r="G329" i="13" s="1"/>
  <c r="I329" i="13" s="1"/>
  <c r="D328" i="13"/>
  <c r="G328" i="13" s="1"/>
  <c r="I328" i="13" s="1"/>
  <c r="D327" i="13"/>
  <c r="G327" i="13" s="1"/>
  <c r="I327" i="13" s="1"/>
  <c r="D326" i="13"/>
  <c r="G326" i="13" s="1"/>
  <c r="I326" i="13" s="1"/>
  <c r="D325" i="13"/>
  <c r="G325" i="13" s="1"/>
  <c r="I325" i="13" s="1"/>
  <c r="D324" i="13"/>
  <c r="G324" i="13" s="1"/>
  <c r="I324" i="13" s="1"/>
  <c r="D323" i="13"/>
  <c r="G323" i="13" s="1"/>
  <c r="I323" i="13" s="1"/>
  <c r="D322" i="13"/>
  <c r="G322" i="13" s="1"/>
  <c r="I322" i="13" s="1"/>
  <c r="D321" i="13"/>
  <c r="G321" i="13" s="1"/>
  <c r="I321" i="13" s="1"/>
  <c r="D320" i="13"/>
  <c r="G320" i="13" s="1"/>
  <c r="I320" i="13" s="1"/>
  <c r="D319" i="13"/>
  <c r="G319" i="13" s="1"/>
  <c r="I319" i="13" s="1"/>
  <c r="D318" i="13"/>
  <c r="G318" i="13" s="1"/>
  <c r="I318" i="13" s="1"/>
  <c r="D317" i="13"/>
  <c r="G317" i="13" s="1"/>
  <c r="I317" i="13" s="1"/>
  <c r="D316" i="13"/>
  <c r="G316" i="13" s="1"/>
  <c r="I316" i="13" s="1"/>
  <c r="G315" i="13"/>
  <c r="I315" i="13" s="1"/>
  <c r="D315" i="13"/>
  <c r="D314" i="13"/>
  <c r="G314" i="13" s="1"/>
  <c r="I314" i="13" s="1"/>
  <c r="D313" i="13"/>
  <c r="G313" i="13" s="1"/>
  <c r="I313" i="13" s="1"/>
  <c r="D312" i="13"/>
  <c r="G312" i="13" s="1"/>
  <c r="I312" i="13" s="1"/>
  <c r="D311" i="13"/>
  <c r="G311" i="13" s="1"/>
  <c r="I311" i="13" s="1"/>
  <c r="D310" i="13"/>
  <c r="G310" i="13" s="1"/>
  <c r="I310" i="13" s="1"/>
  <c r="D309" i="13"/>
  <c r="G309" i="13" s="1"/>
  <c r="I309" i="13" s="1"/>
  <c r="D308" i="13"/>
  <c r="G308" i="13" s="1"/>
  <c r="D307" i="13"/>
  <c r="G307" i="13" s="1"/>
  <c r="I307" i="13" s="1"/>
  <c r="D306" i="13"/>
  <c r="G306" i="13" s="1"/>
  <c r="I306" i="13" s="1"/>
  <c r="D305" i="13"/>
  <c r="G305" i="13" s="1"/>
  <c r="I305" i="13" s="1"/>
  <c r="D304" i="13"/>
  <c r="G304" i="13" s="1"/>
  <c r="I304" i="13" s="1"/>
  <c r="D303" i="13"/>
  <c r="G303" i="13" s="1"/>
  <c r="I303" i="13" s="1"/>
  <c r="G302" i="13"/>
  <c r="I302" i="13" s="1"/>
  <c r="D302" i="13"/>
  <c r="D301" i="13"/>
  <c r="G301" i="13" s="1"/>
  <c r="I301" i="13" s="1"/>
  <c r="D300" i="13"/>
  <c r="G300" i="13" s="1"/>
  <c r="I300" i="13" s="1"/>
  <c r="D299" i="13"/>
  <c r="G299" i="13" s="1"/>
  <c r="I299" i="13" s="1"/>
  <c r="D298" i="13"/>
  <c r="G298" i="13" s="1"/>
  <c r="I298" i="13" s="1"/>
  <c r="D297" i="13"/>
  <c r="G297" i="13" s="1"/>
  <c r="I297" i="13" s="1"/>
  <c r="D296" i="13"/>
  <c r="G296" i="13" s="1"/>
  <c r="I296" i="13" s="1"/>
  <c r="D295" i="13"/>
  <c r="G295" i="13" s="1"/>
  <c r="I295" i="13" s="1"/>
  <c r="D294" i="13"/>
  <c r="G294" i="13" s="1"/>
  <c r="I294" i="13" s="1"/>
  <c r="D293" i="13"/>
  <c r="G293" i="13" s="1"/>
  <c r="I293" i="13" s="1"/>
  <c r="D292" i="13"/>
  <c r="G292" i="13" s="1"/>
  <c r="I292" i="13" s="1"/>
  <c r="D291" i="13"/>
  <c r="G291" i="13" s="1"/>
  <c r="I291" i="13" s="1"/>
  <c r="D290" i="13"/>
  <c r="G290" i="13" s="1"/>
  <c r="I290" i="13" s="1"/>
  <c r="D289" i="13"/>
  <c r="G289" i="13" s="1"/>
  <c r="I289" i="13" s="1"/>
  <c r="D288" i="13"/>
  <c r="G288" i="13" s="1"/>
  <c r="I288" i="13" s="1"/>
  <c r="D287" i="13"/>
  <c r="G287" i="13" s="1"/>
  <c r="I287" i="13" s="1"/>
  <c r="G286" i="13"/>
  <c r="I286" i="13" s="1"/>
  <c r="D286" i="13"/>
  <c r="D285" i="13"/>
  <c r="G285" i="13" s="1"/>
  <c r="I285" i="13" s="1"/>
  <c r="D284" i="13"/>
  <c r="G284" i="13" s="1"/>
  <c r="I284" i="13" s="1"/>
  <c r="D283" i="13"/>
  <c r="G283" i="13" s="1"/>
  <c r="I283" i="13" s="1"/>
  <c r="G282" i="13"/>
  <c r="I282" i="13" s="1"/>
  <c r="D280" i="13"/>
  <c r="G280" i="13" s="1"/>
  <c r="I280" i="13" s="1"/>
  <c r="D279" i="13"/>
  <c r="G279" i="13" s="1"/>
  <c r="I279" i="13" s="1"/>
  <c r="G278" i="13"/>
  <c r="I278" i="13" s="1"/>
  <c r="D278" i="13"/>
  <c r="D277" i="13"/>
  <c r="G277" i="13" s="1"/>
  <c r="I277" i="13" s="1"/>
  <c r="D276" i="13"/>
  <c r="G276" i="13" s="1"/>
  <c r="I276" i="13" s="1"/>
  <c r="D275" i="13"/>
  <c r="G275" i="13" s="1"/>
  <c r="I275" i="13" s="1"/>
  <c r="D274" i="13"/>
  <c r="G274" i="13" s="1"/>
  <c r="I274" i="13" s="1"/>
  <c r="D273" i="13"/>
  <c r="G273" i="13" s="1"/>
  <c r="I273" i="13" s="1"/>
  <c r="D272" i="13"/>
  <c r="G272" i="13" s="1"/>
  <c r="I272" i="13" s="1"/>
  <c r="D271" i="13"/>
  <c r="G271" i="13" s="1"/>
  <c r="I271" i="13" s="1"/>
  <c r="D270" i="13"/>
  <c r="G270" i="13" s="1"/>
  <c r="I270" i="13" s="1"/>
  <c r="D269" i="13"/>
  <c r="G269" i="13" s="1"/>
  <c r="I269" i="13" s="1"/>
  <c r="D268" i="13"/>
  <c r="G268" i="13" s="1"/>
  <c r="I268" i="13" s="1"/>
  <c r="D267" i="13"/>
  <c r="G267" i="13" s="1"/>
  <c r="I267" i="13" s="1"/>
  <c r="D266" i="13"/>
  <c r="G266" i="13" s="1"/>
  <c r="I266" i="13" s="1"/>
  <c r="D265" i="13"/>
  <c r="G265" i="13" s="1"/>
  <c r="I265" i="13" s="1"/>
  <c r="D263" i="13"/>
  <c r="G263" i="13" s="1"/>
  <c r="I263" i="13" s="1"/>
  <c r="D262" i="13"/>
  <c r="G262" i="13" s="1"/>
  <c r="I262" i="13" s="1"/>
  <c r="D261" i="13"/>
  <c r="G261" i="13" s="1"/>
  <c r="I261" i="13" s="1"/>
  <c r="D260" i="13"/>
  <c r="G260" i="13" s="1"/>
  <c r="I260" i="13" s="1"/>
  <c r="D259" i="13"/>
  <c r="G259" i="13" s="1"/>
  <c r="I259" i="13" s="1"/>
  <c r="D258" i="13"/>
  <c r="G258" i="13" s="1"/>
  <c r="I258" i="13" s="1"/>
  <c r="D257" i="13"/>
  <c r="G257" i="13" s="1"/>
  <c r="I257" i="13" s="1"/>
  <c r="I256" i="13"/>
  <c r="D256" i="13"/>
  <c r="D255" i="13"/>
  <c r="G255" i="13" s="1"/>
  <c r="I255" i="13" s="1"/>
  <c r="D254" i="13"/>
  <c r="G254" i="13" s="1"/>
  <c r="I254" i="13" s="1"/>
  <c r="D253" i="13"/>
  <c r="G253" i="13" s="1"/>
  <c r="I253" i="13" s="1"/>
  <c r="D252" i="13"/>
  <c r="G252" i="13" s="1"/>
  <c r="I252" i="13" s="1"/>
  <c r="D251" i="13"/>
  <c r="G251" i="13" s="1"/>
  <c r="I251" i="13" s="1"/>
  <c r="D250" i="13"/>
  <c r="G250" i="13" s="1"/>
  <c r="I250" i="13" s="1"/>
  <c r="D249" i="13"/>
  <c r="G249" i="13" s="1"/>
  <c r="I249" i="13" s="1"/>
  <c r="D248" i="13"/>
  <c r="G248" i="13" s="1"/>
  <c r="I248" i="13" s="1"/>
  <c r="D247" i="13"/>
  <c r="G247" i="13" s="1"/>
  <c r="I247" i="13" s="1"/>
  <c r="D246" i="13"/>
  <c r="G246" i="13" s="1"/>
  <c r="I246" i="13" s="1"/>
  <c r="D245" i="13"/>
  <c r="G245" i="13" s="1"/>
  <c r="I245" i="13" s="1"/>
  <c r="D244" i="13"/>
  <c r="G244" i="13" s="1"/>
  <c r="D243" i="13"/>
  <c r="G243" i="13" s="1"/>
  <c r="I243" i="13" s="1"/>
  <c r="D242" i="13"/>
  <c r="G242" i="13" s="1"/>
  <c r="I242" i="13" s="1"/>
  <c r="D241" i="13"/>
  <c r="G241" i="13" s="1"/>
  <c r="I241" i="13" s="1"/>
  <c r="D240" i="13"/>
  <c r="G240" i="13" s="1"/>
  <c r="I240" i="13" s="1"/>
  <c r="D239" i="13"/>
  <c r="G239" i="13" s="1"/>
  <c r="I239" i="13" s="1"/>
  <c r="D238" i="13"/>
  <c r="G238" i="13" s="1"/>
  <c r="I238" i="13" s="1"/>
  <c r="D237" i="13"/>
  <c r="G237" i="13" s="1"/>
  <c r="I237" i="13" s="1"/>
  <c r="D236" i="13"/>
  <c r="G236" i="13" s="1"/>
  <c r="I236" i="13" s="1"/>
  <c r="D235" i="13"/>
  <c r="G235" i="13" s="1"/>
  <c r="I235" i="13" s="1"/>
  <c r="D234" i="13"/>
  <c r="G234" i="13" s="1"/>
  <c r="I234" i="13" s="1"/>
  <c r="D233" i="13"/>
  <c r="G233" i="13" s="1"/>
  <c r="I233" i="13" s="1"/>
  <c r="D232" i="13"/>
  <c r="G232" i="13" s="1"/>
  <c r="I232" i="13" s="1"/>
  <c r="D231" i="13"/>
  <c r="G231" i="13" s="1"/>
  <c r="I231" i="13" s="1"/>
  <c r="D230" i="13"/>
  <c r="G230" i="13" s="1"/>
  <c r="I230" i="13" s="1"/>
  <c r="D229" i="13"/>
  <c r="G229" i="13" s="1"/>
  <c r="I229" i="13" s="1"/>
  <c r="D228" i="13"/>
  <c r="G228" i="13" s="1"/>
  <c r="I228" i="13" s="1"/>
  <c r="G227" i="13"/>
  <c r="I227" i="13" s="1"/>
  <c r="D227" i="13"/>
  <c r="D226" i="13"/>
  <c r="G226" i="13" s="1"/>
  <c r="I226" i="13" s="1"/>
  <c r="D225" i="13"/>
  <c r="G225" i="13" s="1"/>
  <c r="I225" i="13" s="1"/>
  <c r="D224" i="13"/>
  <c r="G224" i="13" s="1"/>
  <c r="I224" i="13" s="1"/>
  <c r="D223" i="13"/>
  <c r="G223" i="13" s="1"/>
  <c r="I223" i="13" s="1"/>
  <c r="D222" i="13"/>
  <c r="G222" i="13" s="1"/>
  <c r="I222" i="13" s="1"/>
  <c r="D221" i="13"/>
  <c r="G221" i="13" s="1"/>
  <c r="I221" i="13" s="1"/>
  <c r="D220" i="13"/>
  <c r="G220" i="13" s="1"/>
  <c r="I220" i="13" s="1"/>
  <c r="D219" i="13"/>
  <c r="G219" i="13" s="1"/>
  <c r="I219" i="13" s="1"/>
  <c r="D218" i="13"/>
  <c r="G218" i="13" s="1"/>
  <c r="I218" i="13" s="1"/>
  <c r="D217" i="13"/>
  <c r="G217" i="13" s="1"/>
  <c r="I217" i="13" s="1"/>
  <c r="D216" i="13"/>
  <c r="G216" i="13" s="1"/>
  <c r="I216" i="13" s="1"/>
  <c r="D215" i="13"/>
  <c r="G215" i="13" s="1"/>
  <c r="I215" i="13" s="1"/>
  <c r="D214" i="13"/>
  <c r="G214" i="13" s="1"/>
  <c r="I214" i="13" s="1"/>
  <c r="D213" i="13"/>
  <c r="G213" i="13" s="1"/>
  <c r="I213" i="13" s="1"/>
  <c r="D211" i="13"/>
  <c r="G211" i="13" s="1"/>
  <c r="I211" i="13" s="1"/>
  <c r="D210" i="13"/>
  <c r="G210" i="13" s="1"/>
  <c r="I210" i="13" s="1"/>
  <c r="D209" i="13"/>
  <c r="G209" i="13" s="1"/>
  <c r="D208" i="13"/>
  <c r="G208" i="13" s="1"/>
  <c r="I208" i="13" s="1"/>
  <c r="D207" i="13"/>
  <c r="G207" i="13" s="1"/>
  <c r="I207" i="13" s="1"/>
  <c r="D206" i="13"/>
  <c r="G206" i="13" s="1"/>
  <c r="I206" i="13" s="1"/>
  <c r="D205" i="13"/>
  <c r="G205" i="13" s="1"/>
  <c r="I205" i="13" s="1"/>
  <c r="G204" i="13"/>
  <c r="I204" i="13" s="1"/>
  <c r="D204" i="13"/>
  <c r="D203" i="13"/>
  <c r="G203" i="13" s="1"/>
  <c r="I203" i="13" s="1"/>
  <c r="D202" i="13"/>
  <c r="G202" i="13" s="1"/>
  <c r="I202" i="13" s="1"/>
  <c r="D201" i="13"/>
  <c r="G201" i="13" s="1"/>
  <c r="I201" i="13" s="1"/>
  <c r="D200" i="13"/>
  <c r="G200" i="13" s="1"/>
  <c r="I200" i="13" s="1"/>
  <c r="D199" i="13"/>
  <c r="G199" i="13" s="1"/>
  <c r="I199" i="13" s="1"/>
  <c r="D198" i="13"/>
  <c r="G198" i="13" s="1"/>
  <c r="I198" i="13" s="1"/>
  <c r="D197" i="13"/>
  <c r="G197" i="13" s="1"/>
  <c r="I197" i="13" s="1"/>
  <c r="D196" i="13"/>
  <c r="G196" i="13" s="1"/>
  <c r="I196" i="13" s="1"/>
  <c r="D195" i="13"/>
  <c r="G195" i="13" s="1"/>
  <c r="I195" i="13" s="1"/>
  <c r="D194" i="13"/>
  <c r="G194" i="13" s="1"/>
  <c r="I194" i="13" s="1"/>
  <c r="D193" i="13"/>
  <c r="G193" i="13" s="1"/>
  <c r="I193" i="13" s="1"/>
  <c r="D192" i="13"/>
  <c r="G192" i="13" s="1"/>
  <c r="I192" i="13" s="1"/>
  <c r="D191" i="13"/>
  <c r="G191" i="13" s="1"/>
  <c r="I191" i="13" s="1"/>
  <c r="D190" i="13"/>
  <c r="G190" i="13" s="1"/>
  <c r="I190" i="13" s="1"/>
  <c r="D189" i="13"/>
  <c r="G189" i="13" s="1"/>
  <c r="I189" i="13" s="1"/>
  <c r="D188" i="13"/>
  <c r="G188" i="13" s="1"/>
  <c r="I188" i="13" s="1"/>
  <c r="D187" i="13"/>
  <c r="G187" i="13" s="1"/>
  <c r="I187" i="13" s="1"/>
  <c r="D186" i="13"/>
  <c r="G186" i="13" s="1"/>
  <c r="I186" i="13" s="1"/>
  <c r="D185" i="13"/>
  <c r="G185" i="13" s="1"/>
  <c r="I185" i="13" s="1"/>
  <c r="D184" i="13"/>
  <c r="G184" i="13" s="1"/>
  <c r="D183" i="13"/>
  <c r="G183" i="13" s="1"/>
  <c r="D182" i="13"/>
  <c r="G182" i="13" s="1"/>
  <c r="I182" i="13" s="1"/>
  <c r="D181" i="13"/>
  <c r="G181" i="13" s="1"/>
  <c r="I181" i="13" s="1"/>
  <c r="D180" i="13"/>
  <c r="G180" i="13" s="1"/>
  <c r="I180" i="13" s="1"/>
  <c r="D179" i="13"/>
  <c r="G179" i="13" s="1"/>
  <c r="I179" i="13" s="1"/>
  <c r="D178" i="13"/>
  <c r="G178" i="13" s="1"/>
  <c r="I178" i="13" s="1"/>
  <c r="D177" i="13"/>
  <c r="G177" i="13" s="1"/>
  <c r="I177" i="13" s="1"/>
  <c r="D176" i="13"/>
  <c r="G176" i="13" s="1"/>
  <c r="I176" i="13" s="1"/>
  <c r="D174" i="13"/>
  <c r="G174" i="13" s="1"/>
  <c r="I174" i="13" s="1"/>
  <c r="D173" i="13"/>
  <c r="G173" i="13" s="1"/>
  <c r="I173" i="13" s="1"/>
  <c r="D172" i="13"/>
  <c r="G172" i="13" s="1"/>
  <c r="I172" i="13" s="1"/>
  <c r="D171" i="13"/>
  <c r="G171" i="13" s="1"/>
  <c r="I171" i="13" s="1"/>
  <c r="D170" i="13"/>
  <c r="G170" i="13" s="1"/>
  <c r="I170" i="13" s="1"/>
  <c r="D169" i="13"/>
  <c r="G169" i="13" s="1"/>
  <c r="I169" i="13" s="1"/>
  <c r="D168" i="13"/>
  <c r="G168" i="13" s="1"/>
  <c r="I168" i="13" s="1"/>
  <c r="D167" i="13"/>
  <c r="G167" i="13" s="1"/>
  <c r="I167" i="13" s="1"/>
  <c r="D166" i="13"/>
  <c r="G166" i="13" s="1"/>
  <c r="I166" i="13" s="1"/>
  <c r="D165" i="13"/>
  <c r="G165" i="13" s="1"/>
  <c r="I165" i="13" s="1"/>
  <c r="D164" i="13"/>
  <c r="G164" i="13" s="1"/>
  <c r="I164" i="13" s="1"/>
  <c r="D163" i="13"/>
  <c r="G163" i="13" s="1"/>
  <c r="I163" i="13" s="1"/>
  <c r="I162" i="13"/>
  <c r="D161" i="13"/>
  <c r="G161" i="13" s="1"/>
  <c r="I161" i="13" s="1"/>
  <c r="D160" i="13"/>
  <c r="G160" i="13" s="1"/>
  <c r="I160" i="13" s="1"/>
  <c r="D159" i="13"/>
  <c r="G159" i="13" s="1"/>
  <c r="I159" i="13" s="1"/>
  <c r="D158" i="13"/>
  <c r="G158" i="13" s="1"/>
  <c r="I158" i="13" s="1"/>
  <c r="D157" i="13"/>
  <c r="G157" i="13" s="1"/>
  <c r="I157" i="13" s="1"/>
  <c r="D156" i="13"/>
  <c r="G156" i="13" s="1"/>
  <c r="I156" i="13" s="1"/>
  <c r="I155" i="13"/>
  <c r="D155" i="13"/>
  <c r="D154" i="13"/>
  <c r="G154" i="13" s="1"/>
  <c r="I154" i="13" s="1"/>
  <c r="D153" i="13"/>
  <c r="G153" i="13" s="1"/>
  <c r="I153" i="13" s="1"/>
  <c r="D152" i="13"/>
  <c r="G152" i="13" s="1"/>
  <c r="I152" i="13" s="1"/>
  <c r="D151" i="13"/>
  <c r="G151" i="13" s="1"/>
  <c r="I151" i="13" s="1"/>
  <c r="D150" i="13"/>
  <c r="G150" i="13" s="1"/>
  <c r="I150" i="13" s="1"/>
  <c r="D149" i="13"/>
  <c r="G149" i="13" s="1"/>
  <c r="I149" i="13" s="1"/>
  <c r="G148" i="13"/>
  <c r="I148" i="13" s="1"/>
  <c r="D148" i="13"/>
  <c r="D147" i="13"/>
  <c r="G147" i="13" s="1"/>
  <c r="I147" i="13" s="1"/>
  <c r="D146" i="13"/>
  <c r="G146" i="13" s="1"/>
  <c r="I146" i="13" s="1"/>
  <c r="D145" i="13"/>
  <c r="G145" i="13" s="1"/>
  <c r="I145" i="13" s="1"/>
  <c r="D144" i="13"/>
  <c r="G144" i="13" s="1"/>
  <c r="I144" i="13" s="1"/>
  <c r="D143" i="13"/>
  <c r="G143" i="13" s="1"/>
  <c r="I143" i="13" s="1"/>
  <c r="D142" i="13"/>
  <c r="G142" i="13" s="1"/>
  <c r="I142" i="13" s="1"/>
  <c r="D141" i="13"/>
  <c r="G141" i="13" s="1"/>
  <c r="I141" i="13" s="1"/>
  <c r="D140" i="13"/>
  <c r="G140" i="13" s="1"/>
  <c r="I140" i="13" s="1"/>
  <c r="D139" i="13"/>
  <c r="G139" i="13" s="1"/>
  <c r="I139" i="13" s="1"/>
  <c r="D138" i="13"/>
  <c r="G138" i="13" s="1"/>
  <c r="I138" i="13" s="1"/>
  <c r="D137" i="13"/>
  <c r="G137" i="13" s="1"/>
  <c r="I137" i="13" s="1"/>
  <c r="D136" i="13"/>
  <c r="G136" i="13" s="1"/>
  <c r="I136" i="13" s="1"/>
  <c r="D135" i="13"/>
  <c r="G135" i="13" s="1"/>
  <c r="I135" i="13" s="1"/>
  <c r="D134" i="13"/>
  <c r="G134" i="13" s="1"/>
  <c r="I134" i="13" s="1"/>
  <c r="D133" i="13"/>
  <c r="G133" i="13" s="1"/>
  <c r="I133" i="13" s="1"/>
  <c r="G132" i="13"/>
  <c r="I132" i="13" s="1"/>
  <c r="D132" i="13"/>
  <c r="D131" i="13"/>
  <c r="G131" i="13" s="1"/>
  <c r="I131" i="13" s="1"/>
  <c r="D130" i="13"/>
  <c r="G130" i="13" s="1"/>
  <c r="I130" i="13" s="1"/>
  <c r="D129" i="13"/>
  <c r="G129" i="13" s="1"/>
  <c r="I129" i="13" s="1"/>
  <c r="D128" i="13"/>
  <c r="G128" i="13" s="1"/>
  <c r="I128" i="13" s="1"/>
  <c r="D127" i="13"/>
  <c r="G127" i="13" s="1"/>
  <c r="I127" i="13" s="1"/>
  <c r="D126" i="13"/>
  <c r="G126" i="13" s="1"/>
  <c r="I126" i="13" s="1"/>
  <c r="D125" i="13"/>
  <c r="G125" i="13" s="1"/>
  <c r="I125" i="13" s="1"/>
  <c r="D124" i="13"/>
  <c r="G124" i="13" s="1"/>
  <c r="I124" i="13" s="1"/>
  <c r="D123" i="13"/>
  <c r="G123" i="13" s="1"/>
  <c r="I123" i="13" s="1"/>
  <c r="D122" i="13"/>
  <c r="G122" i="13" s="1"/>
  <c r="I122" i="13" s="1"/>
  <c r="D121" i="13"/>
  <c r="G121" i="13" s="1"/>
  <c r="I121" i="13" s="1"/>
  <c r="D120" i="13"/>
  <c r="G120" i="13" s="1"/>
  <c r="I120" i="13" s="1"/>
  <c r="D119" i="13"/>
  <c r="G119" i="13" s="1"/>
  <c r="I119" i="13" s="1"/>
  <c r="D118" i="13"/>
  <c r="G118" i="13" s="1"/>
  <c r="I118" i="13" s="1"/>
  <c r="D117" i="13"/>
  <c r="G117" i="13" s="1"/>
  <c r="I117" i="13" s="1"/>
  <c r="D116" i="13"/>
  <c r="G116" i="13" s="1"/>
  <c r="I116" i="13" s="1"/>
  <c r="D115" i="13"/>
  <c r="G115" i="13" s="1"/>
  <c r="I115" i="13" s="1"/>
  <c r="D114" i="13"/>
  <c r="G114" i="13" s="1"/>
  <c r="I114" i="13" s="1"/>
  <c r="D113" i="13"/>
  <c r="G113" i="13" s="1"/>
  <c r="I113" i="13" s="1"/>
  <c r="D111" i="13"/>
  <c r="G111" i="13" s="1"/>
  <c r="I111" i="13" s="1"/>
  <c r="D110" i="13"/>
  <c r="G110" i="13" s="1"/>
  <c r="I110" i="13" s="1"/>
  <c r="D109" i="13"/>
  <c r="G109" i="13" s="1"/>
  <c r="I109" i="13" s="1"/>
  <c r="D108" i="13"/>
  <c r="G108" i="13" s="1"/>
  <c r="I108" i="13" s="1"/>
  <c r="D107" i="13"/>
  <c r="G107" i="13" s="1"/>
  <c r="I107" i="13" s="1"/>
  <c r="D106" i="13"/>
  <c r="G106" i="13" s="1"/>
  <c r="I106" i="13" s="1"/>
  <c r="D105" i="13"/>
  <c r="G105" i="13" s="1"/>
  <c r="I105" i="13" s="1"/>
  <c r="D104" i="13"/>
  <c r="G104" i="13" s="1"/>
  <c r="I104" i="13" s="1"/>
  <c r="D103" i="13"/>
  <c r="G103" i="13" s="1"/>
  <c r="I103" i="13" s="1"/>
  <c r="D102" i="13"/>
  <c r="G102" i="13" s="1"/>
  <c r="I102" i="13" s="1"/>
  <c r="D101" i="13"/>
  <c r="G101" i="13" s="1"/>
  <c r="I101" i="13" s="1"/>
  <c r="D100" i="13"/>
  <c r="G100" i="13" s="1"/>
  <c r="I100" i="13" s="1"/>
  <c r="D99" i="13"/>
  <c r="G99" i="13" s="1"/>
  <c r="I99" i="13" s="1"/>
  <c r="D98" i="13"/>
  <c r="G98" i="13" s="1"/>
  <c r="I98" i="13" s="1"/>
  <c r="D97" i="13"/>
  <c r="G97" i="13" s="1"/>
  <c r="I97" i="13" s="1"/>
  <c r="D96" i="13"/>
  <c r="G96" i="13" s="1"/>
  <c r="I96" i="13" s="1"/>
  <c r="D95" i="13"/>
  <c r="G95" i="13" s="1"/>
  <c r="I95" i="13" s="1"/>
  <c r="D94" i="13"/>
  <c r="G94" i="13" s="1"/>
  <c r="I94" i="13" s="1"/>
  <c r="D93" i="13"/>
  <c r="G93" i="13" s="1"/>
  <c r="I93" i="13" s="1"/>
  <c r="G92" i="13"/>
  <c r="I92" i="13" s="1"/>
  <c r="D91" i="13"/>
  <c r="G91" i="13" s="1"/>
  <c r="I91" i="13" s="1"/>
  <c r="D90" i="13"/>
  <c r="G90" i="13" s="1"/>
  <c r="I90" i="13" s="1"/>
  <c r="D89" i="13"/>
  <c r="G89" i="13" s="1"/>
  <c r="I89" i="13" s="1"/>
  <c r="D88" i="13"/>
  <c r="G88" i="13" s="1"/>
  <c r="I88" i="13" s="1"/>
  <c r="G87" i="13"/>
  <c r="I87" i="13" s="1"/>
  <c r="D87" i="13"/>
  <c r="D86" i="13"/>
  <c r="G86" i="13" s="1"/>
  <c r="I86" i="13" s="1"/>
  <c r="D85" i="13"/>
  <c r="G85" i="13" s="1"/>
  <c r="I85" i="13" s="1"/>
  <c r="D84" i="13"/>
  <c r="G84" i="13" s="1"/>
  <c r="I84" i="13" s="1"/>
  <c r="D83" i="13"/>
  <c r="G83" i="13" s="1"/>
  <c r="I83" i="13" s="1"/>
  <c r="D81" i="13"/>
  <c r="G81" i="13" s="1"/>
  <c r="I81" i="13" s="1"/>
  <c r="D80" i="13"/>
  <c r="G80" i="13" s="1"/>
  <c r="I80" i="13" s="1"/>
  <c r="D79" i="13"/>
  <c r="G79" i="13" s="1"/>
  <c r="I79" i="13" s="1"/>
  <c r="D78" i="13"/>
  <c r="G78" i="13" s="1"/>
  <c r="I78" i="13" s="1"/>
  <c r="D77" i="13"/>
  <c r="G77" i="13" s="1"/>
  <c r="I77" i="13" s="1"/>
  <c r="D76" i="13"/>
  <c r="G76" i="13" s="1"/>
  <c r="I76" i="13" s="1"/>
  <c r="D75" i="13"/>
  <c r="G75" i="13" s="1"/>
  <c r="I75" i="13" s="1"/>
  <c r="D74" i="13"/>
  <c r="G74" i="13" s="1"/>
  <c r="I74" i="13" s="1"/>
  <c r="D73" i="13"/>
  <c r="G73" i="13" s="1"/>
  <c r="I73" i="13" s="1"/>
  <c r="D72" i="13"/>
  <c r="G72" i="13" s="1"/>
  <c r="I72" i="13" s="1"/>
  <c r="D71" i="13"/>
  <c r="G71" i="13" s="1"/>
  <c r="I71" i="13" s="1"/>
  <c r="D70" i="13"/>
  <c r="G70" i="13" s="1"/>
  <c r="I70" i="13" s="1"/>
  <c r="D69" i="13"/>
  <c r="G69" i="13" s="1"/>
  <c r="I69" i="13" s="1"/>
  <c r="D68" i="13"/>
  <c r="G68" i="13" s="1"/>
  <c r="I68" i="13" s="1"/>
  <c r="D67" i="13"/>
  <c r="G67" i="13" s="1"/>
  <c r="I67" i="13" s="1"/>
  <c r="D66" i="13"/>
  <c r="G66" i="13" s="1"/>
  <c r="I66" i="13" s="1"/>
  <c r="D65" i="13"/>
  <c r="G65" i="13" s="1"/>
  <c r="I65" i="13" s="1"/>
  <c r="D64" i="13"/>
  <c r="G64" i="13" s="1"/>
  <c r="I64" i="13" s="1"/>
  <c r="D63" i="13"/>
  <c r="G63" i="13" s="1"/>
  <c r="I63" i="13" s="1"/>
  <c r="D62" i="13"/>
  <c r="G62" i="13" s="1"/>
  <c r="I62" i="13" s="1"/>
  <c r="D61" i="13"/>
  <c r="G61" i="13" s="1"/>
  <c r="I61" i="13" s="1"/>
  <c r="D60" i="13"/>
  <c r="G60" i="13" s="1"/>
  <c r="I60" i="13" s="1"/>
  <c r="D59" i="13"/>
  <c r="G59" i="13" s="1"/>
  <c r="I59" i="13" s="1"/>
  <c r="D58" i="13"/>
  <c r="G58" i="13" s="1"/>
  <c r="I58" i="13" s="1"/>
  <c r="D57" i="13"/>
  <c r="G57" i="13" s="1"/>
  <c r="I57" i="13" s="1"/>
  <c r="D56" i="13"/>
  <c r="G56" i="13" s="1"/>
  <c r="I56" i="13" s="1"/>
  <c r="D55" i="13"/>
  <c r="G55" i="13" s="1"/>
  <c r="I55" i="13" s="1"/>
  <c r="D54" i="13"/>
  <c r="G54" i="13" s="1"/>
  <c r="I54" i="13" s="1"/>
  <c r="D53" i="13"/>
  <c r="G53" i="13" s="1"/>
  <c r="I53" i="13" s="1"/>
  <c r="G52" i="13"/>
  <c r="I52" i="13" s="1"/>
  <c r="D52" i="13"/>
  <c r="D51" i="13"/>
  <c r="G51" i="13" s="1"/>
  <c r="I51" i="13" s="1"/>
  <c r="D50" i="13"/>
  <c r="G50" i="13" s="1"/>
  <c r="I50" i="13" s="1"/>
  <c r="D49" i="13"/>
  <c r="G49" i="13" s="1"/>
  <c r="I49" i="13" s="1"/>
  <c r="D48" i="13"/>
  <c r="G48" i="13" s="1"/>
  <c r="I48" i="13" s="1"/>
  <c r="D47" i="13"/>
  <c r="G47" i="13" s="1"/>
  <c r="I47" i="13" s="1"/>
  <c r="D46" i="13"/>
  <c r="G46" i="13" s="1"/>
  <c r="I46" i="13" s="1"/>
  <c r="D45" i="13"/>
  <c r="G45" i="13" s="1"/>
  <c r="I45" i="13" s="1"/>
  <c r="D44" i="13"/>
  <c r="G44" i="13" s="1"/>
  <c r="I44" i="13" s="1"/>
  <c r="D43" i="13"/>
  <c r="G43" i="13" s="1"/>
  <c r="I43" i="13" s="1"/>
  <c r="D42" i="13"/>
  <c r="G42" i="13" s="1"/>
  <c r="I42" i="13" s="1"/>
  <c r="D41" i="13"/>
  <c r="G41" i="13" s="1"/>
  <c r="I41" i="13" s="1"/>
  <c r="D40" i="13"/>
  <c r="G40" i="13" s="1"/>
  <c r="I40" i="13" s="1"/>
  <c r="D39" i="13"/>
  <c r="G39" i="13" s="1"/>
  <c r="I39" i="13" s="1"/>
  <c r="D38" i="13"/>
  <c r="G38" i="13" s="1"/>
  <c r="I38" i="13" s="1"/>
  <c r="D37" i="13"/>
  <c r="G37" i="13" s="1"/>
  <c r="I37" i="13" s="1"/>
  <c r="G36" i="13"/>
  <c r="I36" i="13" s="1"/>
  <c r="D36" i="13"/>
  <c r="D35" i="13"/>
  <c r="G35" i="13" s="1"/>
  <c r="I35" i="13" s="1"/>
  <c r="D34" i="13"/>
  <c r="G34" i="13" s="1"/>
  <c r="I34" i="13" s="1"/>
  <c r="D33" i="13"/>
  <c r="G33" i="13" s="1"/>
  <c r="I33" i="13" s="1"/>
  <c r="D32" i="13"/>
  <c r="G32" i="13" s="1"/>
  <c r="I32" i="13" s="1"/>
  <c r="D31" i="13"/>
  <c r="G31" i="13" s="1"/>
  <c r="I31" i="13" s="1"/>
  <c r="D30" i="13"/>
  <c r="G30" i="13" s="1"/>
  <c r="I30" i="13" s="1"/>
  <c r="D28" i="13"/>
  <c r="G28" i="13" s="1"/>
  <c r="I28" i="13" s="1"/>
  <c r="G27" i="13"/>
  <c r="I27" i="13" s="1"/>
  <c r="D26" i="13"/>
  <c r="G26" i="13" s="1"/>
  <c r="I26" i="13" s="1"/>
  <c r="D25" i="13"/>
  <c r="G25" i="13" s="1"/>
  <c r="I25" i="13" s="1"/>
  <c r="D24" i="13"/>
  <c r="G24" i="13" s="1"/>
  <c r="I24" i="13" s="1"/>
  <c r="D23" i="13"/>
  <c r="G23" i="13" s="1"/>
  <c r="I23" i="13" s="1"/>
  <c r="D22" i="13"/>
  <c r="G22" i="13" s="1"/>
  <c r="I22" i="13" s="1"/>
  <c r="D21" i="13"/>
  <c r="G21" i="13" s="1"/>
  <c r="I21" i="13" s="1"/>
  <c r="G20" i="13"/>
  <c r="I20" i="13" s="1"/>
  <c r="D20" i="13"/>
  <c r="D19" i="13"/>
  <c r="G19" i="13" s="1"/>
  <c r="I19" i="13" s="1"/>
  <c r="D18" i="13"/>
  <c r="G18" i="13" s="1"/>
  <c r="I18" i="13" s="1"/>
  <c r="D17" i="13"/>
  <c r="G17" i="13" s="1"/>
  <c r="I17" i="13" s="1"/>
  <c r="D16" i="13"/>
  <c r="G16" i="13" s="1"/>
  <c r="I16" i="13" s="1"/>
  <c r="D15" i="13"/>
  <c r="G15" i="13" s="1"/>
  <c r="I15" i="13" s="1"/>
  <c r="D14" i="13"/>
  <c r="G14" i="13" s="1"/>
  <c r="I14" i="13" s="1"/>
  <c r="D13" i="13"/>
  <c r="G13" i="13" s="1"/>
  <c r="I13" i="13" s="1"/>
  <c r="D12" i="13"/>
  <c r="G12" i="13" s="1"/>
  <c r="I12" i="13" s="1"/>
  <c r="D11" i="13"/>
  <c r="G11" i="13" s="1"/>
  <c r="I11" i="13" s="1"/>
  <c r="D10" i="13"/>
  <c r="G10" i="13" s="1"/>
  <c r="I10" i="13" s="1"/>
  <c r="D9" i="13"/>
  <c r="G9" i="13" s="1"/>
  <c r="I9" i="13" s="1"/>
  <c r="D8" i="13"/>
  <c r="G8" i="13" s="1"/>
  <c r="I8" i="13" s="1"/>
  <c r="D7" i="13"/>
  <c r="G7" i="13" s="1"/>
  <c r="I7" i="13" s="1"/>
  <c r="D6" i="13"/>
  <c r="G6" i="13" s="1"/>
  <c r="I6" i="13" s="1"/>
  <c r="D5" i="13"/>
  <c r="G5" i="13" s="1"/>
  <c r="I5" i="13" s="1"/>
  <c r="I376" i="14" l="1"/>
  <c r="I379" i="13"/>
  <c r="L10" i="7" l="1"/>
  <c r="L8" i="7"/>
  <c r="E3" i="7"/>
  <c r="C21" i="5"/>
  <c r="P16" i="2" l="1"/>
  <c r="Q29" i="2"/>
  <c r="Q28" i="2"/>
  <c r="E32" i="2"/>
  <c r="S28" i="2"/>
  <c r="Q27" i="2"/>
  <c r="S27" i="2" s="1"/>
  <c r="G25" i="2"/>
  <c r="E23" i="2"/>
  <c r="G23" i="2"/>
  <c r="G19" i="2"/>
  <c r="G20" i="2"/>
  <c r="G18" i="2"/>
  <c r="Q26" i="2"/>
  <c r="G15" i="2"/>
  <c r="L14" i="3"/>
  <c r="L10" i="3"/>
  <c r="E3" i="3"/>
  <c r="E34" i="2"/>
  <c r="G34" i="2"/>
  <c r="E33" i="2"/>
  <c r="M33" i="2" s="1"/>
  <c r="M32" i="2"/>
  <c r="G31" i="2"/>
  <c r="E30" i="2"/>
  <c r="E29" i="2"/>
  <c r="M29" i="2" s="1"/>
  <c r="E28" i="2"/>
  <c r="G28" i="2"/>
  <c r="E27" i="2"/>
  <c r="G27" i="2"/>
  <c r="M27" i="2" s="1"/>
  <c r="G26" i="2"/>
  <c r="E24" i="2"/>
  <c r="G24" i="2"/>
  <c r="E22" i="2"/>
  <c r="M22" i="2" s="1"/>
  <c r="E21" i="2"/>
  <c r="E20" i="2"/>
  <c r="E19" i="2"/>
  <c r="E18" i="2"/>
  <c r="E17" i="2"/>
  <c r="G17" i="2"/>
  <c r="E16" i="2"/>
  <c r="E15" i="2"/>
  <c r="M15" i="2" s="1"/>
  <c r="G14" i="2"/>
  <c r="E13" i="2"/>
  <c r="E12" i="2"/>
  <c r="G12" i="2"/>
  <c r="M12" i="2" s="1"/>
  <c r="E11" i="2"/>
  <c r="M11" i="2" s="1"/>
  <c r="G11" i="2"/>
  <c r="E10" i="2"/>
  <c r="G10" i="2"/>
  <c r="G8" i="2"/>
  <c r="E7" i="2"/>
  <c r="E6" i="2"/>
  <c r="G6" i="2"/>
  <c r="M6" i="2" s="1"/>
  <c r="E5" i="2"/>
  <c r="M5" i="2" s="1"/>
  <c r="G4" i="2"/>
  <c r="E4" i="2"/>
  <c r="M4" i="2"/>
  <c r="C25" i="5"/>
  <c r="B12" i="5"/>
  <c r="C16" i="5" s="1"/>
  <c r="D29" i="8"/>
  <c r="E24" i="8"/>
  <c r="D30" i="8" s="1"/>
  <c r="E18" i="8"/>
  <c r="B6" i="5" s="1"/>
  <c r="E30" i="7"/>
  <c r="B14" i="5" s="1"/>
  <c r="E21" i="7"/>
  <c r="B13" i="5" s="1"/>
  <c r="E39" i="3"/>
  <c r="H53" i="2"/>
  <c r="B47" i="2"/>
  <c r="B41" i="2"/>
  <c r="K35" i="2"/>
  <c r="J35" i="2"/>
  <c r="I35" i="2"/>
  <c r="H35" i="2"/>
  <c r="F35" i="2"/>
  <c r="D35" i="2"/>
  <c r="C35" i="2"/>
  <c r="B35" i="2"/>
  <c r="M34" i="2"/>
  <c r="M31" i="2"/>
  <c r="M30" i="2"/>
  <c r="M28" i="2"/>
  <c r="S26" i="2"/>
  <c r="T26" i="2" s="1"/>
  <c r="M26" i="2"/>
  <c r="M25" i="2"/>
  <c r="M24" i="2"/>
  <c r="M23" i="2"/>
  <c r="M21" i="2"/>
  <c r="M20" i="2"/>
  <c r="M19" i="2"/>
  <c r="M17" i="2"/>
  <c r="M16" i="2"/>
  <c r="L35" i="2"/>
  <c r="M14" i="2"/>
  <c r="M13" i="2"/>
  <c r="M10" i="2"/>
  <c r="M9" i="2"/>
  <c r="M8" i="2"/>
  <c r="M7" i="2"/>
  <c r="C25" i="11"/>
  <c r="C16" i="11"/>
  <c r="C9" i="11"/>
  <c r="E35" i="2" l="1"/>
  <c r="C4" i="11" s="1"/>
  <c r="C10" i="11" s="1"/>
  <c r="C17" i="11" s="1"/>
  <c r="C26" i="11" s="1"/>
  <c r="M18" i="2"/>
  <c r="Q31" i="2"/>
  <c r="H52" i="2" s="1"/>
  <c r="C9" i="5"/>
  <c r="H54" i="2"/>
  <c r="H56" i="2" s="1"/>
  <c r="G35" i="2"/>
  <c r="M35" i="2"/>
  <c r="H44" i="2"/>
  <c r="D32" i="8"/>
  <c r="E26" i="8"/>
  <c r="T27" i="2"/>
  <c r="T28" i="2" s="1"/>
  <c r="H42" i="2" l="1"/>
  <c r="H45" i="2" s="1"/>
  <c r="H47" i="2" s="1"/>
  <c r="M48" i="2"/>
  <c r="C4" i="5"/>
  <c r="C10" i="5" s="1"/>
  <c r="C17" i="5" s="1"/>
  <c r="C26" i="5" s="1"/>
  <c r="D46" i="2"/>
  <c r="D43" i="2"/>
  <c r="D39" i="2"/>
  <c r="D41" i="2"/>
  <c r="D40" i="2"/>
  <c r="D45" i="2"/>
  <c r="D38" i="2"/>
  <c r="D44" i="2"/>
  <c r="D47" i="2"/>
  <c r="D48" i="2"/>
  <c r="D42" i="2"/>
  <c r="D49" i="2" l="1"/>
</calcChain>
</file>

<file path=xl/sharedStrings.xml><?xml version="1.0" encoding="utf-8"?>
<sst xmlns="http://schemas.openxmlformats.org/spreadsheetml/2006/main" count="910" uniqueCount="459">
  <si>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</si>
  <si>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</si>
  <si>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</si>
  <si>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</si>
  <si>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</si>
  <si>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</si>
  <si>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</si>
  <si>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</si>
  <si>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</si>
  <si>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</si>
  <si>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</si>
  <si>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</si>
  <si>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</si>
  <si>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</si>
  <si>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</si>
  <si>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</si>
  <si>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</si>
  <si>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</si>
  <si>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</si>
  <si>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</si>
  <si>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</si>
  <si>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</si>
  <si>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</si>
  <si>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</si>
  <si>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</si>
  <si>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</si>
  <si>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</si>
  <si>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</si>
  <si>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</si>
  <si>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</si>
  <si>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</si>
  <si>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</si>
  <si>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</si>
  <si>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</si>
  <si>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</si>
  <si>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</si>
  <si>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</si>
  <si>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</si>
  <si>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</si>
  <si>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</si>
  <si>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</si>
  <si>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</si>
  <si>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</si>
  <si>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</si>
  <si>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</si>
  <si>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</si>
  <si>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OTHER POINTS TO NOTE</t>
  </si>
  <si>
    <t>medi</t>
  </si>
  <si>
    <t>carriage</t>
  </si>
  <si>
    <t xml:space="preserve">STORE PURCHASE:MEDICINE </t>
  </si>
  <si>
    <t>EKWUEME</t>
  </si>
  <si>
    <t>BLOOMS SCHOLARS</t>
  </si>
  <si>
    <t>27/9/2025</t>
  </si>
  <si>
    <t>PLUMBING WORK</t>
  </si>
  <si>
    <t>WEEDING</t>
  </si>
  <si>
    <t>CHRONIC HEALTH</t>
  </si>
  <si>
    <t>REPAIR OF GEN</t>
  </si>
  <si>
    <t>DEMENTIA</t>
  </si>
  <si>
    <t>REVENUE ASSURANCE REPORT FOR DECEMBER 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</si>
  <si>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</si>
  <si>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</si>
  <si>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</si>
  <si>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</si>
  <si>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</si>
  <si>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</si>
  <si>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</si>
  <si>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</si>
  <si>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</si>
  <si>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</si>
  <si>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</si>
  <si>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</si>
  <si>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</si>
  <si>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</si>
  <si>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</si>
  <si>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</si>
  <si>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</si>
  <si>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</si>
  <si>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</si>
  <si>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CHANGEOVER,WIRE &amp; LABOUR</t>
  </si>
  <si>
    <t>A4 PAPER,STET,BULBS, EXTENSION</t>
  </si>
  <si>
    <t>FOLDER PART PAYMENT</t>
  </si>
  <si>
    <t>PAINTING</t>
  </si>
  <si>
    <t>TRANSPORT FOR MEDICATION JAMES</t>
  </si>
  <si>
    <t>BASIN &amp; BASKET</t>
  </si>
  <si>
    <t>LANCET</t>
  </si>
  <si>
    <t xml:space="preserve">REFUND </t>
  </si>
  <si>
    <t>OFFICE SUPPLY</t>
  </si>
  <si>
    <t xml:space="preserve"> Stock @ 1/12/2025</t>
  </si>
  <si>
    <t>Less STOCK AS AT 31/12/2025</t>
  </si>
  <si>
    <t>STATEMENT OF FINANCIAL PERFORMANCE FOR THE MONTH ENDED 31/12/2025</t>
  </si>
  <si>
    <t>POLICE</t>
  </si>
  <si>
    <t>JAMES</t>
  </si>
  <si>
    <t>SIGN POST WAYBILL</t>
  </si>
  <si>
    <t>DIRECT DEPOSIT   N1,986,150</t>
  </si>
  <si>
    <t>WE LOST N53,900 TO UNCREDITED TRANSACTION</t>
  </si>
  <si>
    <t>COST OF MATERIAL USAGE FOR THE MONTH OF  NOV. 2025</t>
  </si>
  <si>
    <t>NOV,2025</t>
  </si>
  <si>
    <t>QTY SOLD</t>
  </si>
  <si>
    <t>U/PRICE</t>
  </si>
  <si>
    <t>ANTI HYPERTENSIVE</t>
  </si>
  <si>
    <t>METHYLDOPA</t>
  </si>
  <si>
    <t>AMILODIPINE 10MG</t>
  </si>
  <si>
    <t>AMILODIPINE 5MG</t>
  </si>
  <si>
    <t>LISINOPRIL 2MG</t>
  </si>
  <si>
    <t>CARVIDOLOL 6.25MG</t>
  </si>
  <si>
    <t>NIFIDIPINE 90MG</t>
  </si>
  <si>
    <t>VASOPRINE 75MG</t>
  </si>
  <si>
    <t>MET/GMPAGHPHOZINE</t>
  </si>
  <si>
    <t>HCTZ 20MG</t>
  </si>
  <si>
    <t>LORATIDINE</t>
  </si>
  <si>
    <t>DICLOFENAC</t>
  </si>
  <si>
    <t>METROPROLOL</t>
  </si>
  <si>
    <t>LABETALOL</t>
  </si>
  <si>
    <t>ALDOMENT</t>
  </si>
  <si>
    <t>LABETALOL INJ.</t>
  </si>
  <si>
    <t>AMITRIPTYLINE</t>
  </si>
  <si>
    <t>STELAZINE</t>
  </si>
  <si>
    <t>ARTANE</t>
  </si>
  <si>
    <t>CARBAMEZAPINE</t>
  </si>
  <si>
    <t>LAGATIL</t>
  </si>
  <si>
    <t>PHENOBARB</t>
  </si>
  <si>
    <t>MONTELUKAST</t>
  </si>
  <si>
    <t>ANTI DIABETIC</t>
  </si>
  <si>
    <t>INSULIN</t>
  </si>
  <si>
    <t>METFORMIN</t>
  </si>
  <si>
    <t>GLIPIZIDE</t>
  </si>
  <si>
    <t>MULTIVITAMINE</t>
  </si>
  <si>
    <t>FOLIC ACID</t>
  </si>
  <si>
    <t>FESOLATE</t>
  </si>
  <si>
    <t>VITAMINE-C</t>
  </si>
  <si>
    <t>VITAMINE-C 1000MG</t>
  </si>
  <si>
    <t>VITAMINE-E 1000MG</t>
  </si>
  <si>
    <t>VITAMINE-C SYRUP</t>
  </si>
  <si>
    <t>PRIMPEX SYRUP</t>
  </si>
  <si>
    <t>MULTIVITE SYRUP</t>
  </si>
  <si>
    <t>VITAMINE B COMPLEX</t>
  </si>
  <si>
    <t>BRONCHOLYTE SYRUP</t>
  </si>
  <si>
    <t>PARACETAMOL SYRUP</t>
  </si>
  <si>
    <t>AMOXYL SYRUP</t>
  </si>
  <si>
    <t>CAMOXYCLAV SUSP.</t>
  </si>
  <si>
    <t>LYNSCLAV</t>
  </si>
  <si>
    <t>COFLINE</t>
  </si>
  <si>
    <t>FLEMINE 475</t>
  </si>
  <si>
    <t>METOPROL</t>
  </si>
  <si>
    <t>PREDINSOLINE</t>
  </si>
  <si>
    <t>FEROUS</t>
  </si>
  <si>
    <t>VIT A</t>
  </si>
  <si>
    <t>ZINC</t>
  </si>
  <si>
    <t>MONOMIN</t>
  </si>
  <si>
    <t xml:space="preserve">T-CARE </t>
  </si>
  <si>
    <t>LADY'S OWN</t>
  </si>
  <si>
    <t>KINGS TONIC</t>
  </si>
  <si>
    <t>FERROTAL XTRA</t>
  </si>
  <si>
    <t>CHEMIRON</t>
  </si>
  <si>
    <t>FLEMINE SYRUP</t>
  </si>
  <si>
    <t>METRONINDAZOLE SYRUP</t>
  </si>
  <si>
    <t>ERYTHROMYCIN SYRUP</t>
  </si>
  <si>
    <t>FLEMINE ADULT</t>
  </si>
  <si>
    <t>METRO SYRUP</t>
  </si>
  <si>
    <t>PLEXITON</t>
  </si>
  <si>
    <t>IBUPRO SYRUP</t>
  </si>
  <si>
    <t>PLEXITON BOTTLE</t>
  </si>
  <si>
    <t>CIPROZINE</t>
  </si>
  <si>
    <t>PIRITON SYRUP</t>
  </si>
  <si>
    <t>AMPICLOX SYRUP</t>
  </si>
  <si>
    <t>EMZOCLOX</t>
  </si>
  <si>
    <t>NEUROVITE</t>
  </si>
  <si>
    <t>CEFFIXIME SYRUP</t>
  </si>
  <si>
    <t>BG CLAV SYRUP</t>
  </si>
  <si>
    <t>AZITHROMYCIN</t>
  </si>
  <si>
    <t>RACOTRIM SYRUP</t>
  </si>
  <si>
    <t>P ALAXIN SYR</t>
  </si>
  <si>
    <t xml:space="preserve">RACOTRIM </t>
  </si>
  <si>
    <t>ANAGESICS/ ANTI INFLAMMATORIES</t>
  </si>
  <si>
    <t>IBUPRFEN 80MG</t>
  </si>
  <si>
    <t>IBUPRFEN 200MG</t>
  </si>
  <si>
    <t>IBUPRFEN 400MG</t>
  </si>
  <si>
    <t>NAPROXEN 250MG</t>
  </si>
  <si>
    <t>TIZANIDINE 2 MG</t>
  </si>
  <si>
    <t>ACETAMINOPHEN 500GM</t>
  </si>
  <si>
    <t>ACETAMINOPHEN 325MG</t>
  </si>
  <si>
    <t>STUGERON 25MG</t>
  </si>
  <si>
    <t>DIGIXON .25MG</t>
  </si>
  <si>
    <t>CARFEGOT 1MG</t>
  </si>
  <si>
    <t>TADALIFIL 20MG</t>
  </si>
  <si>
    <t>PIROXICAM 20MG</t>
  </si>
  <si>
    <t>SABUTAMOL/THEOPHYLINE</t>
  </si>
  <si>
    <t>LEXOTAN 5MG</t>
  </si>
  <si>
    <t>DEXAMETHASON</t>
  </si>
  <si>
    <t>CHYMORAL</t>
  </si>
  <si>
    <t>TETNUS OXIDE</t>
  </si>
  <si>
    <t>ASPRIN</t>
  </si>
  <si>
    <t>COGNITOL</t>
  </si>
  <si>
    <t>CUREFENAC</t>
  </si>
  <si>
    <t>ROBINAX</t>
  </si>
  <si>
    <t>BUSCOMAC</t>
  </si>
  <si>
    <t>ATROCARE</t>
  </si>
  <si>
    <t>ATROPINE</t>
  </si>
  <si>
    <t>MAGNESIUM SULPHATE</t>
  </si>
  <si>
    <t>GABAPENTIN</t>
  </si>
  <si>
    <t>CYTRIZINE</t>
  </si>
  <si>
    <t>ACCACLOFENAC</t>
  </si>
  <si>
    <t>ANTI-ULCER</t>
  </si>
  <si>
    <t>OMEPRAZOLE 40MG</t>
  </si>
  <si>
    <t>OMEPRAZOLE 80MG</t>
  </si>
  <si>
    <t>MIST MAG</t>
  </si>
  <si>
    <t>CYTOTEC</t>
  </si>
  <si>
    <t>FAMOFIDING</t>
  </si>
  <si>
    <t>CIMETIDINE</t>
  </si>
  <si>
    <t>ULGICID</t>
  </si>
  <si>
    <t>ACELUFENAC/PCM</t>
  </si>
  <si>
    <t>ANTI-BACTERIA</t>
  </si>
  <si>
    <t>AMOXICILLIN 250MG</t>
  </si>
  <si>
    <t>AMOXICILLIN 500MG</t>
  </si>
  <si>
    <t>METRONIDAZOLE 500MG</t>
  </si>
  <si>
    <t>METRONIDAZOLE 200MG</t>
  </si>
  <si>
    <t>DOXYCYLIN 100MG</t>
  </si>
  <si>
    <t>AZITHROMYCINE</t>
  </si>
  <si>
    <t>CEPHALEXIN 500MG</t>
  </si>
  <si>
    <t>SULFAMETHOXACIN 500MG</t>
  </si>
  <si>
    <t>CEFFIXIME 500MG</t>
  </si>
  <si>
    <t>CIPROFLOXACIN 500MG</t>
  </si>
  <si>
    <t>ERYTHROMYCIN 400MG</t>
  </si>
  <si>
    <t>AMOXIL 500MG</t>
  </si>
  <si>
    <t>LEVOFLOXCINE 500MG</t>
  </si>
  <si>
    <t>MEBENDAZOLE</t>
  </si>
  <si>
    <t>AMPICLOX 500MG</t>
  </si>
  <si>
    <t xml:space="preserve">BRONCHOLYTE </t>
  </si>
  <si>
    <t>COAMOXICLAV</t>
  </si>
  <si>
    <t>CLARITHROMYCIN</t>
  </si>
  <si>
    <t>EXPECTORANT</t>
  </si>
  <si>
    <t>MOTALUCORST SODIIUM</t>
  </si>
  <si>
    <t>PROXICAM</t>
  </si>
  <si>
    <t>MEFFORMINE</t>
  </si>
  <si>
    <t>COTRI-960</t>
  </si>
  <si>
    <t>PROPANALO</t>
  </si>
  <si>
    <t>RANITIDINE</t>
  </si>
  <si>
    <t>FLUCONAZOLE</t>
  </si>
  <si>
    <t>MUCUS RELIEF</t>
  </si>
  <si>
    <t>LIVOLIN FORTE</t>
  </si>
  <si>
    <t>ABENDAZOLE</t>
  </si>
  <si>
    <t>CIPROTINIDAZOLE</t>
  </si>
  <si>
    <t>DIAZEPAM</t>
  </si>
  <si>
    <t>FLEMING 228</t>
  </si>
  <si>
    <t>PREDINISOLON</t>
  </si>
  <si>
    <t>OFLOXACIN</t>
  </si>
  <si>
    <t>PREGABALIN</t>
  </si>
  <si>
    <t>FANSIDER</t>
  </si>
  <si>
    <t>VERMOX</t>
  </si>
  <si>
    <t>ANTI EMETIC/ ANTI- HISTAMINE</t>
  </si>
  <si>
    <t>LOPRAMIDE 2MG</t>
  </si>
  <si>
    <t>METOCLOPREMIDE 5MG</t>
  </si>
  <si>
    <t>STIMETIL</t>
  </si>
  <si>
    <t>CETRIXINE</t>
  </si>
  <si>
    <t>FRANOL</t>
  </si>
  <si>
    <t>LIMOTIL</t>
  </si>
  <si>
    <t>PROMETHAZINE 50MG</t>
  </si>
  <si>
    <t>PLASIL</t>
  </si>
  <si>
    <t>CLOPIDOPRIL</t>
  </si>
  <si>
    <t>PROMETHAZINE SYRUP</t>
  </si>
  <si>
    <t>DIURETICS</t>
  </si>
  <si>
    <t>FUROSEMIDE 20MG</t>
  </si>
  <si>
    <t>FUROSEMIDE 40MG</t>
  </si>
  <si>
    <t>HYDROCHLOROTHIAZIDE 25MG</t>
  </si>
  <si>
    <t>SPIRONOLACTONE 25MG</t>
  </si>
  <si>
    <t>DUCOLAX</t>
  </si>
  <si>
    <t>OXYTOLYTIC AGENT</t>
  </si>
  <si>
    <t>OXYTOCIN</t>
  </si>
  <si>
    <t>ANTI-MALARIA</t>
  </si>
  <si>
    <t>CAMOSONATE ADULT</t>
  </si>
  <si>
    <t>CAMOSONATE CHILDREN</t>
  </si>
  <si>
    <t>ARTSUNATE/AMODIQUINE</t>
  </si>
  <si>
    <t>CABAMAZEPIN 200MG</t>
  </si>
  <si>
    <t>MEBENDAZOLE 500MG</t>
  </si>
  <si>
    <t>DONZAPRIL 10MG</t>
  </si>
  <si>
    <t>ARTSUNATE</t>
  </si>
  <si>
    <t>ARTHEMETER/LUMEFATIN</t>
  </si>
  <si>
    <t>ARTHEMETER/LUMEFATIN/ CHILDREN</t>
  </si>
  <si>
    <t>TAMSOLUSIN</t>
  </si>
  <si>
    <t>AMINOPHYLYN</t>
  </si>
  <si>
    <t>PIRITON</t>
  </si>
  <si>
    <t>ARTEMETHER SYRUP</t>
  </si>
  <si>
    <t>LAGACTIL</t>
  </si>
  <si>
    <t>FAMOTIDINE</t>
  </si>
  <si>
    <t>HYDROXYCLOROGANIC</t>
  </si>
  <si>
    <t>LUMAGLOBE</t>
  </si>
  <si>
    <t>CALCIUM D3</t>
  </si>
  <si>
    <t>SWIDAV</t>
  </si>
  <si>
    <t>REKMAL 120MG</t>
  </si>
  <si>
    <t>REKMAL 60MG</t>
  </si>
  <si>
    <t>P ALAXIN</t>
  </si>
  <si>
    <t>AMERTEM SOFTGEL</t>
  </si>
  <si>
    <t>AMERTEM SOFTGEL CHILDREN</t>
  </si>
  <si>
    <t>INJECTIONS</t>
  </si>
  <si>
    <t>LIDOCAIN</t>
  </si>
  <si>
    <t>PARACETAMOL 300MG</t>
  </si>
  <si>
    <t>NOVAMENTINE</t>
  </si>
  <si>
    <t>DICLOFENAC 75MG</t>
  </si>
  <si>
    <t>GENTAMICIN</t>
  </si>
  <si>
    <t>METOCLOPRAMIDE-10</t>
  </si>
  <si>
    <t>KETAMINE HYDROCLORIDE 50MG</t>
  </si>
  <si>
    <t>FUROSEMIDE</t>
  </si>
  <si>
    <t>CEFTRIAXONE</t>
  </si>
  <si>
    <t>DEXAETHASOME</t>
  </si>
  <si>
    <t>HRTEMETHO</t>
  </si>
  <si>
    <t>EMAL</t>
  </si>
  <si>
    <t>PENTAZOCINE</t>
  </si>
  <si>
    <t>ARTHEMETER</t>
  </si>
  <si>
    <t>ADRENALINE</t>
  </si>
  <si>
    <t>HYDROCORTSON</t>
  </si>
  <si>
    <t>OMEPRAZOLE</t>
  </si>
  <si>
    <t>ERGOT</t>
  </si>
  <si>
    <t>AIOCIN</t>
  </si>
  <si>
    <t>ARTELIFE</t>
  </si>
  <si>
    <t>MODUCATE</t>
  </si>
  <si>
    <t>HO2. 4mg</t>
  </si>
  <si>
    <t>HIDINOCAM</t>
  </si>
  <si>
    <t>HYDRALAZINE</t>
  </si>
  <si>
    <t>CEFTAZIDINE</t>
  </si>
  <si>
    <t>BG CLAV SUSP.</t>
  </si>
  <si>
    <t>BG CLAV</t>
  </si>
  <si>
    <t>GBECEF</t>
  </si>
  <si>
    <t>EBECEF</t>
  </si>
  <si>
    <t>BG-MAL</t>
  </si>
  <si>
    <t>ALPHA BITTER</t>
  </si>
  <si>
    <t xml:space="preserve">VIT K3 </t>
  </si>
  <si>
    <t>CAMOXYCLAV 600MG</t>
  </si>
  <si>
    <t>CAMOXYCLAV 1.2GM</t>
  </si>
  <si>
    <t>BG-MAL SUSP</t>
  </si>
  <si>
    <t>LUDOCIAN</t>
  </si>
  <si>
    <t>VENTOLIIN</t>
  </si>
  <si>
    <t>POTASSIUM CHLORIDE</t>
  </si>
  <si>
    <t>INFUSION</t>
  </si>
  <si>
    <t>D/ SALINE</t>
  </si>
  <si>
    <t>10% D/WATER</t>
  </si>
  <si>
    <t>N/ SALINE</t>
  </si>
  <si>
    <t>D/ WATER</t>
  </si>
  <si>
    <t>MANITOL 20%</t>
  </si>
  <si>
    <t>MANITOL 10%</t>
  </si>
  <si>
    <t>METRO IV</t>
  </si>
  <si>
    <t>CIPRO IV</t>
  </si>
  <si>
    <t>4.3% DEXTROSE</t>
  </si>
  <si>
    <t>50% DEXTROSE</t>
  </si>
  <si>
    <t>DARROWS</t>
  </si>
  <si>
    <t>RINGER</t>
  </si>
  <si>
    <t>ORS</t>
  </si>
  <si>
    <t>LEVO INFUSION</t>
  </si>
  <si>
    <t>BP KIT</t>
  </si>
  <si>
    <t>LABORATORY</t>
  </si>
  <si>
    <t>MALARIA KIT</t>
  </si>
  <si>
    <t>A4 PAPER</t>
  </si>
  <si>
    <t>PT KIT</t>
  </si>
  <si>
    <t>PLAIN BOTTLE</t>
  </si>
  <si>
    <t>RUST</t>
  </si>
  <si>
    <t>GREEN BOTTLE</t>
  </si>
  <si>
    <t>H. PALORI</t>
  </si>
  <si>
    <t>HCV</t>
  </si>
  <si>
    <t>EDTA BOTTLE</t>
  </si>
  <si>
    <t>SPIRIT</t>
  </si>
  <si>
    <t>VDRI</t>
  </si>
  <si>
    <t>COMBI 9</t>
  </si>
  <si>
    <t>GENOTYPE TANK</t>
  </si>
  <si>
    <t>TRIS BUFFER</t>
  </si>
  <si>
    <t>HIV KIT</t>
  </si>
  <si>
    <t>ACETATE PAPER</t>
  </si>
  <si>
    <t>APPLICATOR STICK</t>
  </si>
  <si>
    <t>ANTI-D</t>
  </si>
  <si>
    <t>HEPARIN BOTTLE</t>
  </si>
  <si>
    <t>HBSNG</t>
  </si>
  <si>
    <t>PSA</t>
  </si>
  <si>
    <t>PETRI DISH</t>
  </si>
  <si>
    <t>LEISHMAN STAIN</t>
  </si>
  <si>
    <t>BLOOD BAG</t>
  </si>
  <si>
    <t>TURKS SOLUTION</t>
  </si>
  <si>
    <t>CONICAL FLASK</t>
  </si>
  <si>
    <t>FIELD STAIN A&amp;B</t>
  </si>
  <si>
    <t>COVER SLIP</t>
  </si>
  <si>
    <t>SLIDE</t>
  </si>
  <si>
    <t>OTHER ITEMS</t>
  </si>
  <si>
    <t>URINE BOTTLE</t>
  </si>
  <si>
    <t>URINE BAG</t>
  </si>
  <si>
    <t>BANDAGE 4 INCHES</t>
  </si>
  <si>
    <t>BANDAGE 6 INCHES</t>
  </si>
  <si>
    <t>SYRING 5M/S</t>
  </si>
  <si>
    <t>SYRING 2M/S</t>
  </si>
  <si>
    <t>SYRING 10M/S</t>
  </si>
  <si>
    <t>GAUZE</t>
  </si>
  <si>
    <t>COTTON</t>
  </si>
  <si>
    <t>CHROMIC 1</t>
  </si>
  <si>
    <t>CHROMIC 2/O</t>
  </si>
  <si>
    <t>CHROMIC O</t>
  </si>
  <si>
    <t>CHROMIC 2</t>
  </si>
  <si>
    <t>NYLON 2/O</t>
  </si>
  <si>
    <t>NYLON 1</t>
  </si>
  <si>
    <t>VICRYL 0</t>
  </si>
  <si>
    <t>VICRYL  2/0</t>
  </si>
  <si>
    <t>SILK</t>
  </si>
  <si>
    <t>GERMICIDE</t>
  </si>
  <si>
    <t>SURGICAL BLADE</t>
  </si>
  <si>
    <t>PURIT</t>
  </si>
  <si>
    <t>IODINE</t>
  </si>
  <si>
    <t>MOKO SPIRIT</t>
  </si>
  <si>
    <t>EUSOL</t>
  </si>
  <si>
    <t>YELLOW CANULAR</t>
  </si>
  <si>
    <t>PINK CANULAR</t>
  </si>
  <si>
    <t>CARTHETER</t>
  </si>
  <si>
    <t>DRIP SET</t>
  </si>
  <si>
    <t>SURGICAL GLOVE</t>
  </si>
  <si>
    <t>EXAM GLOVE</t>
  </si>
  <si>
    <t>RUBBER BAND</t>
  </si>
  <si>
    <t>CALCULATOR</t>
  </si>
  <si>
    <t>ELBOW GLOVE</t>
  </si>
  <si>
    <t>CAPILLARY TUBE</t>
  </si>
  <si>
    <t>ENVELOPE</t>
  </si>
  <si>
    <t>OXYGEN REGULATOR</t>
  </si>
  <si>
    <t>OXYGEN</t>
  </si>
  <si>
    <t>NIDDLE 21G</t>
  </si>
  <si>
    <t>NIDDLE 22G</t>
  </si>
  <si>
    <t>BATTERY</t>
  </si>
  <si>
    <t>GLUCOMETER BATTERY</t>
  </si>
  <si>
    <t xml:space="preserve">GLUCOMETER </t>
  </si>
  <si>
    <t>NIDDLE 23G</t>
  </si>
  <si>
    <t>PLASTER</t>
  </si>
  <si>
    <t>GLUCOMETER STRIPS</t>
  </si>
  <si>
    <t>BETADINE</t>
  </si>
  <si>
    <t>BETADINE BIG</t>
  </si>
  <si>
    <t>WATER FOR INJECTION</t>
  </si>
  <si>
    <t>DERMAZINE</t>
  </si>
  <si>
    <t>NEUROGESIC CREAM</t>
  </si>
  <si>
    <t>CUTCLAP</t>
  </si>
  <si>
    <t>BRANDED BAG</t>
  </si>
  <si>
    <t>SAVLON 750ML</t>
  </si>
  <si>
    <t>SAVLON 4L</t>
  </si>
  <si>
    <t>OXYGEN CANULAR CHILDREN</t>
  </si>
  <si>
    <t>OXYGEN CANULAR ADULT</t>
  </si>
  <si>
    <t>NG TUBE</t>
  </si>
  <si>
    <t>DISPOSABLE GOWN</t>
  </si>
  <si>
    <t>EDT BOTTLE</t>
  </si>
  <si>
    <t>PROVIDON</t>
  </si>
  <si>
    <t>VASELINE B/S</t>
  </si>
  <si>
    <t>MUCUS EXTRACTOR</t>
  </si>
  <si>
    <t>DETERGENT</t>
  </si>
  <si>
    <t>DEC,2025</t>
  </si>
  <si>
    <t>COST OF MATERIAL USAGE FOR THE MONTH OF  DEC. 2025</t>
  </si>
  <si>
    <t>MALE</t>
  </si>
  <si>
    <t>FEMALE</t>
  </si>
  <si>
    <t>ADMISSION</t>
  </si>
  <si>
    <t>NUMBER OF PATIENTS SEEN IN DEC,2025</t>
  </si>
  <si>
    <t>24DAYS</t>
  </si>
  <si>
    <t>OPENING STOCK</t>
  </si>
  <si>
    <t>PURCHASES</t>
  </si>
  <si>
    <t>DONATION</t>
  </si>
  <si>
    <t>TOTAL STOCK</t>
  </si>
  <si>
    <t>COST OF  INDEGENT,DELIVERY SUBSIDY, DEMENTIA,CHRONIC CARE AND BLOOM SCHOLARS N734,100</t>
  </si>
  <si>
    <t>AMOUNT SPENT ON MAINTENANCE,STOREPURCHASE, CLEARANCE OF OLD DEPT AND OFFICE SUPPLY N1,196,300</t>
  </si>
  <si>
    <t>CASH RECEIVED IS N641,150 AND USED TO FUND EXPENSES</t>
  </si>
  <si>
    <t xml:space="preserve">WE STILL HAVE STOCK (MEDICATION) VALUED N1,610,000 AT COST PRICE AND DEBT OF( N394,730). 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</si>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</sst>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164" fontId="5" fillId="0" borderId="5" xfId="1" applyFont="1" applyBorder="1"/>
    <xf numFmtId="0" fontId="5" fillId="0" borderId="5" xfId="1" applyNumberFormat="1" applyFont="1" applyBorder="1"/>
    <xf numFmtId="4" fontId="5" fillId="0" borderId="5" xfId="1" applyNumberFormat="1" applyFont="1" applyBorder="1"/>
    <xf numFmtId="1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textRotation="90"/>
    </xf>
    <xf numFmtId="4" fontId="9" fillId="0" borderId="5" xfId="0" applyNumberFormat="1" applyFont="1" applyBorder="1" applyAlignment="1">
      <alignment textRotation="90"/>
    </xf>
    <xf numFmtId="164" fontId="9" fillId="0" borderId="5" xfId="1" applyFont="1" applyBorder="1" applyAlignment="1">
      <alignment textRotation="90"/>
    </xf>
    <xf numFmtId="0" fontId="5" fillId="0" borderId="5" xfId="0" applyFont="1" applyBorder="1"/>
    <xf numFmtId="165" fontId="5" fillId="0" borderId="5" xfId="0" applyNumberFormat="1" applyFont="1" applyBorder="1"/>
    <xf numFmtId="4" fontId="5" fillId="0" borderId="5" xfId="0" applyNumberFormat="1" applyFont="1" applyBorder="1"/>
    <xf numFmtId="4" fontId="5" fillId="3" borderId="5" xfId="0" applyNumberFormat="1" applyFont="1" applyFill="1" applyBorder="1"/>
    <xf numFmtId="4" fontId="5" fillId="2" borderId="5" xfId="0" applyNumberFormat="1" applyFont="1" applyFill="1" applyBorder="1"/>
    <xf numFmtId="4" fontId="5" fillId="4" borderId="5" xfId="0" applyNumberFormat="1" applyFont="1" applyFill="1" applyBorder="1"/>
    <xf numFmtId="4" fontId="5" fillId="3" borderId="5" xfId="1" applyNumberFormat="1" applyFont="1" applyFill="1" applyBorder="1"/>
    <xf numFmtId="4" fontId="5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ppData/Local/Packages/5319275A.WhatsAppDesktop_cv1g1gvanyjgm/LocalState/sessions/5B77C035E29A0263AA816BFC1CE50C0A6F6F682A/transfers/2026-35/ACIU-NA%20MEDICAL%20COMPLEX%20MONTHLY%20REPORT%20FOR%20OCT%202025%20-.xlsx" TargetMode="External"/><Relationship Id="rId1" Type="http://schemas.openxmlformats.org/officeDocument/2006/relationships/externalLinkPath" Target="/Users/DELL/AppData/Local/Packages/5319275A.WhatsAppDesktop_cv1g1gvanyjgm/LocalState/sessions/5B77C035E29A0263AA816BFC1CE50C0A6F6F682A/transfers/2026-35/ACIU-NA%20MEDICAL%20COMPLEX%20MONTHLY%20REPORT%20FOR%20OCT%202025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OCK"/>
      <sheetName val="REVENUE"/>
      <sheetName val="IMPREST"/>
      <sheetName val="EXPENSE GROUPING"/>
      <sheetName val="FIN. REPORT"/>
      <sheetName val="Sheet3"/>
      <sheetName val="MAINTENANCE-OFFICE SUPPLIES"/>
      <sheetName val="MEDICATIONS"/>
      <sheetName val="Sheet1"/>
      <sheetName val="CLOSING STOCK"/>
      <sheetName val="Sheet2"/>
    </sheetNames>
    <sheetDataSet>
      <sheetData sheetId="0"/>
      <sheetData sheetId="1">
        <row r="35">
          <cell r="M35">
            <v>2163050</v>
          </cell>
        </row>
      </sheetData>
      <sheetData sheetId="2">
        <row r="39">
          <cell r="E39">
            <v>1072465</v>
          </cell>
        </row>
      </sheetData>
      <sheetData sheetId="3"/>
      <sheetData sheetId="4"/>
      <sheetData sheetId="5"/>
      <sheetData sheetId="6">
        <row r="21">
          <cell r="E21">
            <v>178165</v>
          </cell>
        </row>
      </sheetData>
      <sheetData sheetId="7">
        <row r="18">
          <cell r="E18">
            <v>788300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selection activeCell="R19" sqref="R19"/>
    </sheetView>
  </sheetViews>
  <sheetFormatPr defaultColWidth="9.109375" defaultRowHeight="15.6" x14ac:dyDescent="0.3"/>
  <cols>
    <col min="1" max="1" width="11.6640625" style="13" customWidth="1"/>
    <col min="2" max="2" width="10.33203125" style="1" customWidth="1"/>
    <col min="3" max="3" width="12.33203125" style="1" customWidth="1"/>
    <col min="4" max="6" width="9.109375" style="1"/>
    <col min="7" max="7" width="11.33203125" style="1" bestFit="1" customWidth="1"/>
    <col min="8" max="10" width="9.109375" style="1"/>
    <col min="11" max="11" width="13.44140625" style="1" customWidth="1"/>
    <col min="12" max="16384" width="9.109375" style="1"/>
  </cols>
  <sheetData>
    <row r="1" spans="1:16" s="10" customFormat="1" ht="17.25" customHeight="1" x14ac:dyDescent="0.3">
      <c r="A1" s="54" t="s">
        <v>58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6" s="10" customForma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6" s="10" customFormat="1" x14ac:dyDescent="0.3">
      <c r="A3" s="11" t="s">
        <v>1</v>
      </c>
      <c r="B3" s="10" t="s">
        <v>2</v>
      </c>
      <c r="C3" s="10" t="s">
        <v>38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37</v>
      </c>
      <c r="K3" s="10" t="s">
        <v>42</v>
      </c>
      <c r="L3" s="10" t="s">
        <v>8</v>
      </c>
      <c r="M3" s="10" t="s">
        <v>9</v>
      </c>
    </row>
    <row r="4" spans="1:16" x14ac:dyDescent="0.3">
      <c r="A4" s="12">
        <v>45669</v>
      </c>
      <c r="E4" s="1">
        <f>8000+3000+1000</f>
        <v>12000</v>
      </c>
      <c r="G4" s="1">
        <f>6000+2800+1000+15000</f>
        <v>24800</v>
      </c>
      <c r="M4" s="1">
        <f>B4+C4+D4+E4+F4+G4+H4+I4+J4+K4+L4</f>
        <v>36800</v>
      </c>
    </row>
    <row r="5" spans="1:16" x14ac:dyDescent="0.3">
      <c r="A5" s="12">
        <v>45700</v>
      </c>
      <c r="E5" s="1">
        <f>6000</f>
        <v>6000</v>
      </c>
      <c r="F5" s="1">
        <f>4000</f>
        <v>4000</v>
      </c>
      <c r="G5" s="1">
        <f>2200+53200+1800</f>
        <v>57200</v>
      </c>
      <c r="M5" s="1">
        <f t="shared" ref="M5:M34" si="0">B5+C5+D5+E5+F5+G5+H5+I5+J5+K5+L5</f>
        <v>67200</v>
      </c>
    </row>
    <row r="6" spans="1:16" x14ac:dyDescent="0.3">
      <c r="A6" s="12">
        <v>45728</v>
      </c>
      <c r="E6" s="1">
        <f>4000+12000</f>
        <v>16000</v>
      </c>
      <c r="G6" s="1">
        <f>2000+3200+7200+6000</f>
        <v>18400</v>
      </c>
      <c r="M6" s="1">
        <f t="shared" si="0"/>
        <v>34400</v>
      </c>
    </row>
    <row r="7" spans="1:16" x14ac:dyDescent="0.3">
      <c r="A7" s="12">
        <v>45759</v>
      </c>
      <c r="E7" s="1">
        <f>15000</f>
        <v>15000</v>
      </c>
      <c r="F7" s="1">
        <f>6000</f>
        <v>6000</v>
      </c>
      <c r="G7" s="1">
        <f>7200+9000+33200+3500+1000+6000+2500+3200+34800</f>
        <v>100400</v>
      </c>
      <c r="M7" s="1">
        <f t="shared" si="0"/>
        <v>121400</v>
      </c>
    </row>
    <row r="8" spans="1:16" x14ac:dyDescent="0.3">
      <c r="A8" s="12">
        <v>45789</v>
      </c>
      <c r="G8" s="1">
        <f>1000+15000+30000+1000</f>
        <v>47000</v>
      </c>
      <c r="M8" s="1">
        <f t="shared" si="0"/>
        <v>47000</v>
      </c>
    </row>
    <row r="9" spans="1:16" x14ac:dyDescent="0.3">
      <c r="A9" s="12">
        <v>45820</v>
      </c>
      <c r="F9" s="1">
        <f>4000</f>
        <v>4000</v>
      </c>
      <c r="G9" s="1">
        <f>31300+65000+21200</f>
        <v>117500</v>
      </c>
      <c r="M9" s="1">
        <f t="shared" si="0"/>
        <v>121500</v>
      </c>
    </row>
    <row r="10" spans="1:16" x14ac:dyDescent="0.3">
      <c r="A10" s="12">
        <v>45850</v>
      </c>
      <c r="E10" s="1">
        <f>11000+5000</f>
        <v>16000</v>
      </c>
      <c r="G10" s="1">
        <f>3000+3200</f>
        <v>6200</v>
      </c>
      <c r="M10" s="1">
        <f t="shared" si="0"/>
        <v>22200</v>
      </c>
    </row>
    <row r="11" spans="1:16" x14ac:dyDescent="0.3">
      <c r="A11" s="12">
        <v>45881</v>
      </c>
      <c r="E11" s="1">
        <f>1000+4000</f>
        <v>5000</v>
      </c>
      <c r="G11" s="1">
        <f>1500+15200+3000</f>
        <v>19700</v>
      </c>
      <c r="M11" s="1">
        <f t="shared" si="0"/>
        <v>24700</v>
      </c>
    </row>
    <row r="12" spans="1:16" x14ac:dyDescent="0.3">
      <c r="A12" s="12">
        <v>45912</v>
      </c>
      <c r="E12" s="1">
        <f>2000+1000</f>
        <v>3000</v>
      </c>
      <c r="G12" s="1">
        <f>10000+8000+8500+7000+5500+29300+5200+3000</f>
        <v>76500</v>
      </c>
      <c r="M12" s="1">
        <f t="shared" si="0"/>
        <v>79500</v>
      </c>
    </row>
    <row r="13" spans="1:16" x14ac:dyDescent="0.3">
      <c r="A13" s="12">
        <v>45942</v>
      </c>
      <c r="E13" s="1">
        <f>2000</f>
        <v>2000</v>
      </c>
      <c r="F13" s="1">
        <f>2000</f>
        <v>2000</v>
      </c>
      <c r="G13" s="1">
        <f>1000+3500+5500+13000+30000+4500+3000</f>
        <v>60500</v>
      </c>
      <c r="M13" s="1">
        <f t="shared" si="0"/>
        <v>64500</v>
      </c>
    </row>
    <row r="14" spans="1:16" x14ac:dyDescent="0.3">
      <c r="A14" s="12">
        <v>45973</v>
      </c>
      <c r="G14" s="1">
        <f>5600+4700+15000</f>
        <v>25300</v>
      </c>
      <c r="M14" s="1">
        <f t="shared" si="0"/>
        <v>25300</v>
      </c>
    </row>
    <row r="15" spans="1:16" x14ac:dyDescent="0.3">
      <c r="A15" s="12">
        <v>46003</v>
      </c>
      <c r="E15" s="1">
        <f>1000+1000</f>
        <v>2000</v>
      </c>
      <c r="G15" s="1">
        <f>20000+45000+20000+10000+1000+73000+9450+6500</f>
        <v>184950</v>
      </c>
      <c r="M15" s="1">
        <f t="shared" si="0"/>
        <v>186950</v>
      </c>
    </row>
    <row r="16" spans="1:16" x14ac:dyDescent="0.3">
      <c r="A16" s="12" t="s">
        <v>59</v>
      </c>
      <c r="E16" s="1">
        <f>1000+1000</f>
        <v>2000</v>
      </c>
      <c r="F16" s="1">
        <f>4000</f>
        <v>4000</v>
      </c>
      <c r="G16" s="1">
        <f>30000+5000+20000+55000</f>
        <v>110000</v>
      </c>
      <c r="M16" s="1">
        <f t="shared" si="0"/>
        <v>116000</v>
      </c>
      <c r="P16" s="1">
        <f>19200+15000+19700</f>
        <v>53900</v>
      </c>
    </row>
    <row r="17" spans="1:20" x14ac:dyDescent="0.3">
      <c r="A17" s="12" t="s">
        <v>60</v>
      </c>
      <c r="E17" s="1">
        <f>10000</f>
        <v>10000</v>
      </c>
      <c r="G17" s="1">
        <f>9300+30200</f>
        <v>39500</v>
      </c>
      <c r="M17" s="1">
        <f t="shared" si="0"/>
        <v>49500</v>
      </c>
    </row>
    <row r="18" spans="1:20" x14ac:dyDescent="0.3">
      <c r="A18" s="12" t="s">
        <v>61</v>
      </c>
      <c r="E18" s="1">
        <f>5000+1600</f>
        <v>6600</v>
      </c>
      <c r="G18" s="1">
        <f>9200+7000+8000+1000</f>
        <v>25200</v>
      </c>
      <c r="M18" s="1">
        <f t="shared" si="0"/>
        <v>31800</v>
      </c>
    </row>
    <row r="19" spans="1:20" x14ac:dyDescent="0.3">
      <c r="A19" s="12" t="s">
        <v>62</v>
      </c>
      <c r="E19" s="1">
        <f>2000+6000</f>
        <v>8000</v>
      </c>
      <c r="G19" s="1">
        <f>4200+12200+3800+26200+4500</f>
        <v>50900</v>
      </c>
      <c r="M19" s="1">
        <f t="shared" si="0"/>
        <v>58900</v>
      </c>
    </row>
    <row r="20" spans="1:20" x14ac:dyDescent="0.3">
      <c r="A20" s="12" t="s">
        <v>63</v>
      </c>
      <c r="E20" s="1">
        <f>2000</f>
        <v>2000</v>
      </c>
      <c r="G20" s="1">
        <f>9500+1000+2000+5000</f>
        <v>17500</v>
      </c>
      <c r="M20" s="1">
        <f t="shared" si="0"/>
        <v>19500</v>
      </c>
    </row>
    <row r="21" spans="1:20" x14ac:dyDescent="0.3">
      <c r="A21" s="13" t="s">
        <v>64</v>
      </c>
      <c r="E21" s="1">
        <f>6000</f>
        <v>6000</v>
      </c>
      <c r="F21" s="1">
        <f>2000</f>
        <v>2000</v>
      </c>
      <c r="G21" s="1">
        <f>33200+5000+5200+15000+14000+9200</f>
        <v>81600</v>
      </c>
      <c r="M21" s="1">
        <f t="shared" si="0"/>
        <v>89600</v>
      </c>
    </row>
    <row r="22" spans="1:20" x14ac:dyDescent="0.3">
      <c r="A22" s="13" t="s">
        <v>65</v>
      </c>
      <c r="E22" s="1">
        <f>2000</f>
        <v>2000</v>
      </c>
      <c r="F22" s="1">
        <f>2000</f>
        <v>2000</v>
      </c>
      <c r="G22" s="1">
        <f>5000+5500+2000+40650</f>
        <v>53150</v>
      </c>
      <c r="M22" s="1">
        <f t="shared" si="0"/>
        <v>57150</v>
      </c>
    </row>
    <row r="23" spans="1:20" x14ac:dyDescent="0.3">
      <c r="A23" s="13" t="s">
        <v>66</v>
      </c>
      <c r="E23" s="1">
        <f>4000+1000+6000+6000+5000</f>
        <v>22000</v>
      </c>
      <c r="G23" s="1">
        <f>26000+11000+5200+25400</f>
        <v>67600</v>
      </c>
      <c r="M23" s="1">
        <f t="shared" si="0"/>
        <v>89600</v>
      </c>
    </row>
    <row r="24" spans="1:20" x14ac:dyDescent="0.3">
      <c r="A24" s="13" t="s">
        <v>67</v>
      </c>
      <c r="E24" s="1">
        <f>1000</f>
        <v>1000</v>
      </c>
      <c r="G24" s="1">
        <f>35000+21300+5000+20000</f>
        <v>81300</v>
      </c>
      <c r="M24" s="1">
        <f t="shared" si="0"/>
        <v>82300</v>
      </c>
    </row>
    <row r="25" spans="1:20" x14ac:dyDescent="0.3">
      <c r="A25" s="13" t="s">
        <v>68</v>
      </c>
      <c r="G25" s="1">
        <f>3200+6000+20000+5000+1500+8500</f>
        <v>44200</v>
      </c>
      <c r="M25" s="1">
        <f t="shared" si="0"/>
        <v>44200</v>
      </c>
    </row>
    <row r="26" spans="1:20" x14ac:dyDescent="0.3">
      <c r="A26" s="13" t="s">
        <v>69</v>
      </c>
      <c r="G26" s="1">
        <f>13500+8000+5000</f>
        <v>26500</v>
      </c>
      <c r="M26" s="1">
        <f t="shared" si="0"/>
        <v>26500</v>
      </c>
      <c r="Q26" s="1">
        <f>8000+15000+57200+12000+7200+37300+36800+15000+30000+5000+3200+10000+5500+32000+13000+20000+20000+10000+6500+20000+20000+25000+73000+20000+1000+59000+9300+30200+7000+9200+15200+5000+4200+26200</f>
        <v>668000</v>
      </c>
      <c r="S26" s="1">
        <f>253550-102250</f>
        <v>151300</v>
      </c>
      <c r="T26" s="1">
        <f>S26-231530-70300</f>
        <v>-150530</v>
      </c>
    </row>
    <row r="27" spans="1:20" x14ac:dyDescent="0.3">
      <c r="A27" s="13" t="s">
        <v>70</v>
      </c>
      <c r="E27" s="1">
        <f>3000</f>
        <v>3000</v>
      </c>
      <c r="G27" s="1">
        <f>15000+14000+1000+10500+13000+1500</f>
        <v>55000</v>
      </c>
      <c r="M27" s="1">
        <f t="shared" si="0"/>
        <v>58000</v>
      </c>
      <c r="Q27" s="1">
        <f>1000+9200+2000+35200+2000+42650+20000+6000+4000+17000+25400+20000+15000+21300+183250+20000+3200+8500+20000+5000+13500+20000+7500+20000+8500+32300+23000+37000+8000+27000+41600+19200+14000+8000+32400+6200+56000+38200</f>
        <v>873100</v>
      </c>
      <c r="S27" s="1">
        <f>470200-Q27</f>
        <v>-402900</v>
      </c>
      <c r="T27" s="1">
        <f>S27+T26+24450</f>
        <v>-528980</v>
      </c>
    </row>
    <row r="28" spans="1:20" x14ac:dyDescent="0.3">
      <c r="A28" s="13" t="s">
        <v>71</v>
      </c>
      <c r="E28" s="1">
        <f>8500</f>
        <v>8500</v>
      </c>
      <c r="G28" s="1">
        <f>20000+20000+7500</f>
        <v>47500</v>
      </c>
      <c r="M28" s="1">
        <f t="shared" si="0"/>
        <v>56000</v>
      </c>
      <c r="Q28" s="1">
        <f>31400+3800+5200+20000+10000+20000+10000+6500+54200+22200+23200+7000+19200+18300+29450+12200+10000</f>
        <v>302650</v>
      </c>
      <c r="S28" s="1">
        <f>546900-Q28</f>
        <v>244250</v>
      </c>
      <c r="T28" s="1">
        <f>S28+T27-166800</f>
        <v>-451530</v>
      </c>
    </row>
    <row r="29" spans="1:20" x14ac:dyDescent="0.3">
      <c r="A29" s="13" t="s">
        <v>72</v>
      </c>
      <c r="E29" s="1">
        <f>1000</f>
        <v>1000</v>
      </c>
      <c r="F29" s="1">
        <f>4000</f>
        <v>4000</v>
      </c>
      <c r="G29" s="1">
        <f>12000+30300+37000+27000+23000+39600</f>
        <v>168900</v>
      </c>
      <c r="M29" s="1">
        <f t="shared" si="0"/>
        <v>173900</v>
      </c>
      <c r="Q29" s="1">
        <f>2000+7200+14000+30200+10000+26300+13000+17000+8500+15000</f>
        <v>143200</v>
      </c>
    </row>
    <row r="30" spans="1:20" x14ac:dyDescent="0.3">
      <c r="A30" s="13" t="s">
        <v>73</v>
      </c>
      <c r="E30" s="1">
        <f>1000+2000+1000</f>
        <v>4000</v>
      </c>
      <c r="F30" s="1">
        <f>6000</f>
        <v>6000</v>
      </c>
      <c r="G30" s="1">
        <f>6000+9200+10000+14000+5200+30400+27200+3200+6200+7000+6500+6000+34200+8000</f>
        <v>173100</v>
      </c>
      <c r="M30" s="1">
        <f t="shared" si="0"/>
        <v>183100</v>
      </c>
    </row>
    <row r="31" spans="1:20" x14ac:dyDescent="0.3">
      <c r="A31" s="13" t="s">
        <v>74</v>
      </c>
      <c r="G31" s="1">
        <f>31400+1000+3800+3000+46500+4400+2800+3000</f>
        <v>95900</v>
      </c>
      <c r="M31" s="1">
        <f t="shared" si="0"/>
        <v>95900</v>
      </c>
      <c r="Q31" s="1">
        <f>SUM(Q25:Q30)</f>
        <v>1986950</v>
      </c>
    </row>
    <row r="32" spans="1:20" x14ac:dyDescent="0.3">
      <c r="A32" s="13" t="s">
        <v>75</v>
      </c>
      <c r="E32" s="1">
        <f>1000+6500</f>
        <v>7500</v>
      </c>
      <c r="F32" s="1">
        <f>10000</f>
        <v>10000</v>
      </c>
      <c r="G32" s="1">
        <f>10000+3000+15000+20000+1500+7500+4500+2200+1500+4400+5000+10000+20000+1000+2000+24200+39000+7000</f>
        <v>177800</v>
      </c>
      <c r="M32" s="1">
        <f t="shared" si="0"/>
        <v>195300</v>
      </c>
    </row>
    <row r="33" spans="1:13" x14ac:dyDescent="0.3">
      <c r="A33" s="13" t="s">
        <v>76</v>
      </c>
      <c r="E33" s="1">
        <f>7000</f>
        <v>7000</v>
      </c>
      <c r="F33" s="1">
        <f>4000</f>
        <v>4000</v>
      </c>
      <c r="G33" s="1">
        <f>5200+7200+15000+4000+50200+22200+23200+18200+11000+2000+13300+19700+4000+19300+29000</f>
        <v>243500</v>
      </c>
      <c r="M33" s="1">
        <f t="shared" si="0"/>
        <v>254500</v>
      </c>
    </row>
    <row r="34" spans="1:13" x14ac:dyDescent="0.3">
      <c r="A34" s="13" t="s">
        <v>77</v>
      </c>
      <c r="E34" s="1">
        <f>13000+17000</f>
        <v>30000</v>
      </c>
      <c r="G34" s="1">
        <f>30200+14000+8500+10000+7200+8500+5500</f>
        <v>83900</v>
      </c>
      <c r="M34" s="1">
        <f t="shared" si="0"/>
        <v>113900</v>
      </c>
    </row>
    <row r="35" spans="1:13" x14ac:dyDescent="0.3">
      <c r="B35" s="1">
        <f>SUM(B4:B34)</f>
        <v>0</v>
      </c>
      <c r="C35" s="1">
        <f>SUM(C4:C34)</f>
        <v>0</v>
      </c>
      <c r="D35" s="1">
        <f t="shared" ref="D35:L35" si="1">SUM(D4:D34)</f>
        <v>0</v>
      </c>
      <c r="E35" s="14">
        <f t="shared" si="1"/>
        <v>197600</v>
      </c>
      <c r="F35" s="1">
        <f t="shared" si="1"/>
        <v>48000</v>
      </c>
      <c r="G35" s="14">
        <f t="shared" si="1"/>
        <v>2381500</v>
      </c>
      <c r="H35" s="14">
        <f t="shared" si="1"/>
        <v>0</v>
      </c>
      <c r="I35" s="14">
        <f t="shared" si="1"/>
        <v>0</v>
      </c>
      <c r="J35" s="14">
        <f t="shared" si="1"/>
        <v>0</v>
      </c>
      <c r="K35" s="29">
        <f>SUM(K4:K34)</f>
        <v>0</v>
      </c>
      <c r="L35" s="14">
        <f t="shared" si="1"/>
        <v>0</v>
      </c>
      <c r="M35" s="10">
        <f>SUM(M4:M34)</f>
        <v>2627100</v>
      </c>
    </row>
    <row r="37" spans="1:13" x14ac:dyDescent="0.3">
      <c r="D37" s="1" t="s">
        <v>10</v>
      </c>
    </row>
    <row r="38" spans="1:13" x14ac:dyDescent="0.3">
      <c r="B38" s="1" t="s">
        <v>2</v>
      </c>
      <c r="D38" s="1">
        <f>B35/M35*100</f>
        <v>0</v>
      </c>
    </row>
    <row r="39" spans="1:13" x14ac:dyDescent="0.3">
      <c r="B39" s="1" t="s">
        <v>38</v>
      </c>
      <c r="D39" s="1">
        <f>C35/M35*100</f>
        <v>0</v>
      </c>
    </row>
    <row r="40" spans="1:13" x14ac:dyDescent="0.3">
      <c r="B40" s="1" t="s">
        <v>34</v>
      </c>
      <c r="D40" s="1">
        <f>D35/M35*100</f>
        <v>0</v>
      </c>
      <c r="H40" s="10" t="s">
        <v>14</v>
      </c>
    </row>
    <row r="41" spans="1:13" x14ac:dyDescent="0.3">
      <c r="B41" s="1" t="str">
        <f>E3</f>
        <v>LAB</v>
      </c>
      <c r="D41" s="1">
        <f>E35/M35*100</f>
        <v>7.521601766206083</v>
      </c>
    </row>
    <row r="42" spans="1:13" x14ac:dyDescent="0.3">
      <c r="B42" s="1" t="s">
        <v>4</v>
      </c>
      <c r="D42" s="1">
        <f>F35/M35*100</f>
        <v>1.8271097407788057</v>
      </c>
      <c r="G42" s="14" t="s">
        <v>23</v>
      </c>
      <c r="H42" s="1">
        <f>E35+G35+H35+I35+L35+J35</f>
        <v>2579100</v>
      </c>
    </row>
    <row r="43" spans="1:13" x14ac:dyDescent="0.3">
      <c r="B43" s="1" t="s">
        <v>5</v>
      </c>
      <c r="D43" s="1">
        <f>G35/M35*100</f>
        <v>90.651288493015116</v>
      </c>
    </row>
    <row r="44" spans="1:13" x14ac:dyDescent="0.3">
      <c r="B44" s="1" t="s">
        <v>6</v>
      </c>
      <c r="D44" s="1">
        <f>H35/M35*100</f>
        <v>0</v>
      </c>
      <c r="F44" s="1" t="s">
        <v>24</v>
      </c>
      <c r="G44" s="1" t="s">
        <v>29</v>
      </c>
      <c r="H44" s="1">
        <f>B35+F35+D35+C35+K35</f>
        <v>48000</v>
      </c>
    </row>
    <row r="45" spans="1:13" x14ac:dyDescent="0.3">
      <c r="B45" s="1" t="s">
        <v>7</v>
      </c>
      <c r="D45" s="1">
        <f>I35/M35*100</f>
        <v>0</v>
      </c>
      <c r="G45" s="1" t="s">
        <v>9</v>
      </c>
      <c r="H45" s="10">
        <f>SUM(H42:H44)</f>
        <v>2627100</v>
      </c>
    </row>
    <row r="46" spans="1:13" ht="16.2" thickBot="1" x14ac:dyDescent="0.35">
      <c r="B46" s="1" t="s">
        <v>41</v>
      </c>
      <c r="D46" s="1">
        <f>J35/M35*100</f>
        <v>0</v>
      </c>
      <c r="F46" s="1" t="s">
        <v>26</v>
      </c>
      <c r="G46" s="1" t="s">
        <v>27</v>
      </c>
      <c r="H46" s="1">
        <v>-247415</v>
      </c>
    </row>
    <row r="47" spans="1:13" ht="16.2" thickBot="1" x14ac:dyDescent="0.35">
      <c r="B47" s="1" t="str">
        <f>L3</f>
        <v>DRESSING</v>
      </c>
      <c r="D47" s="1">
        <f>L35/M35*100</f>
        <v>0</v>
      </c>
      <c r="F47" s="1" t="s">
        <v>9</v>
      </c>
      <c r="G47" s="1" t="s">
        <v>0</v>
      </c>
      <c r="H47" s="15">
        <f>SUM(H45:H46)</f>
        <v>2379685</v>
      </c>
    </row>
    <row r="48" spans="1:13" x14ac:dyDescent="0.3">
      <c r="B48" s="1" t="s">
        <v>43</v>
      </c>
      <c r="D48" s="1">
        <f>K35/M35*100</f>
        <v>0</v>
      </c>
      <c r="H48" s="10"/>
      <c r="M48" s="1">
        <f>M35-H52</f>
        <v>640150</v>
      </c>
    </row>
    <row r="49" spans="2:8" x14ac:dyDescent="0.3">
      <c r="D49" s="1">
        <f>SUM(D38:D48)</f>
        <v>100</v>
      </c>
    </row>
    <row r="50" spans="2:8" x14ac:dyDescent="0.3">
      <c r="D50" s="1" t="s">
        <v>13</v>
      </c>
    </row>
    <row r="51" spans="2:8" x14ac:dyDescent="0.3">
      <c r="B51" s="1" t="s">
        <v>30</v>
      </c>
    </row>
    <row r="52" spans="2:8" x14ac:dyDescent="0.3">
      <c r="D52" s="1" t="s">
        <v>31</v>
      </c>
      <c r="H52" s="1">
        <f>Q31</f>
        <v>1986950</v>
      </c>
    </row>
    <row r="53" spans="2:8" x14ac:dyDescent="0.3">
      <c r="D53" s="1" t="s">
        <v>18</v>
      </c>
      <c r="H53" s="1">
        <f>[1]IMPREST!E39</f>
        <v>1072465</v>
      </c>
    </row>
    <row r="54" spans="2:8" x14ac:dyDescent="0.3">
      <c r="D54" s="1" t="s">
        <v>9</v>
      </c>
      <c r="H54" s="1">
        <f>H52+H53</f>
        <v>3059415</v>
      </c>
    </row>
    <row r="55" spans="2:8" ht="16.2" thickBot="1" x14ac:dyDescent="0.35">
      <c r="D55" s="1" t="s">
        <v>32</v>
      </c>
      <c r="H55" s="1">
        <v>-394730</v>
      </c>
    </row>
    <row r="56" spans="2:8" ht="16.2" thickBot="1" x14ac:dyDescent="0.35">
      <c r="D56" s="1" t="s">
        <v>33</v>
      </c>
      <c r="H56" s="15">
        <f>H54+H55</f>
        <v>2664685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opLeftCell="A21" workbookViewId="0">
      <selection activeCell="E41" sqref="E41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2.5546875" customWidth="1"/>
  </cols>
  <sheetData>
    <row r="1" spans="1:12" ht="14.25" customHeight="1" x14ac:dyDescent="0.3">
      <c r="A1" s="22" t="s">
        <v>1</v>
      </c>
      <c r="B1" s="23" t="s">
        <v>12</v>
      </c>
      <c r="C1" s="23"/>
      <c r="D1" s="22" t="s">
        <v>11</v>
      </c>
      <c r="E1" s="22" t="s">
        <v>0</v>
      </c>
      <c r="F1" s="22"/>
    </row>
    <row r="2" spans="1:12" x14ac:dyDescent="0.3">
      <c r="A2" s="12">
        <v>45700</v>
      </c>
      <c r="B2" s="26" t="s">
        <v>78</v>
      </c>
      <c r="C2" s="26"/>
      <c r="D2" s="24"/>
      <c r="E2" s="24">
        <v>109000</v>
      </c>
      <c r="F2" s="24"/>
    </row>
    <row r="3" spans="1:12" x14ac:dyDescent="0.3">
      <c r="A3" s="12">
        <v>45700</v>
      </c>
      <c r="B3" s="26" t="s">
        <v>79</v>
      </c>
      <c r="C3" s="26"/>
      <c r="D3" s="24"/>
      <c r="E3" s="24">
        <f>4000+6000+9000+4000</f>
        <v>23000</v>
      </c>
      <c r="F3" s="24"/>
    </row>
    <row r="4" spans="1:12" x14ac:dyDescent="0.3">
      <c r="A4" s="12">
        <v>45700</v>
      </c>
      <c r="B4" s="26" t="s">
        <v>80</v>
      </c>
      <c r="C4" s="26"/>
      <c r="D4" s="24"/>
      <c r="E4" s="24">
        <v>150000</v>
      </c>
      <c r="F4" s="24"/>
    </row>
    <row r="5" spans="1:12" x14ac:dyDescent="0.3">
      <c r="A5" s="12">
        <v>45700</v>
      </c>
      <c r="B5" s="26" t="s">
        <v>81</v>
      </c>
      <c r="C5" s="26"/>
      <c r="D5" s="24"/>
      <c r="E5" s="24">
        <v>40000</v>
      </c>
      <c r="F5" s="24"/>
    </row>
    <row r="6" spans="1:12" x14ac:dyDescent="0.3">
      <c r="A6" s="12">
        <v>45700</v>
      </c>
      <c r="B6" s="26" t="s">
        <v>44</v>
      </c>
      <c r="C6" s="26"/>
      <c r="D6" s="24"/>
      <c r="E6" s="24">
        <v>50000</v>
      </c>
      <c r="F6" s="24"/>
    </row>
    <row r="7" spans="1:12" x14ac:dyDescent="0.3">
      <c r="A7" s="12">
        <v>45700</v>
      </c>
      <c r="B7" s="26" t="s">
        <v>82</v>
      </c>
      <c r="C7" s="26"/>
      <c r="D7" s="24"/>
      <c r="E7" s="24">
        <v>1500</v>
      </c>
      <c r="F7" s="24"/>
    </row>
    <row r="8" spans="1:12" x14ac:dyDescent="0.3">
      <c r="A8" s="12">
        <v>45700</v>
      </c>
      <c r="B8" s="26" t="s">
        <v>92</v>
      </c>
      <c r="C8" s="26"/>
      <c r="D8" s="24"/>
      <c r="E8" s="24">
        <v>2000</v>
      </c>
      <c r="F8" s="24"/>
    </row>
    <row r="9" spans="1:12" x14ac:dyDescent="0.3">
      <c r="A9" s="12">
        <v>45700</v>
      </c>
      <c r="B9" s="26" t="s">
        <v>54</v>
      </c>
      <c r="C9" s="26"/>
      <c r="D9" s="24"/>
      <c r="E9" s="24">
        <v>3000</v>
      </c>
      <c r="F9" s="24"/>
    </row>
    <row r="10" spans="1:12" x14ac:dyDescent="0.3">
      <c r="A10" s="12">
        <v>45700</v>
      </c>
      <c r="B10" s="26" t="s">
        <v>83</v>
      </c>
      <c r="C10" s="26"/>
      <c r="D10" s="24"/>
      <c r="E10" s="24">
        <v>23500</v>
      </c>
      <c r="F10" s="24"/>
      <c r="L10">
        <f>13500+17000+14000+5000+10000</f>
        <v>59500</v>
      </c>
    </row>
    <row r="11" spans="1:12" x14ac:dyDescent="0.3">
      <c r="A11" s="12">
        <v>45700</v>
      </c>
      <c r="B11" s="26" t="s">
        <v>44</v>
      </c>
      <c r="C11" s="26"/>
      <c r="D11" s="24"/>
      <c r="E11" s="24">
        <v>31500</v>
      </c>
      <c r="F11" s="24"/>
    </row>
    <row r="12" spans="1:12" x14ac:dyDescent="0.3">
      <c r="A12" s="12">
        <v>45700</v>
      </c>
      <c r="B12" s="26" t="s">
        <v>84</v>
      </c>
      <c r="C12" s="26"/>
      <c r="D12" s="24"/>
      <c r="E12" s="24">
        <v>3500</v>
      </c>
      <c r="F12" s="24"/>
    </row>
    <row r="13" spans="1:12" x14ac:dyDescent="0.3">
      <c r="A13" s="12">
        <v>45700</v>
      </c>
      <c r="B13" s="26" t="s">
        <v>53</v>
      </c>
      <c r="C13" s="26"/>
      <c r="D13" s="24"/>
      <c r="E13" s="24">
        <v>2500</v>
      </c>
      <c r="F13" s="24"/>
    </row>
    <row r="14" spans="1:12" x14ac:dyDescent="0.3">
      <c r="A14" s="12">
        <v>45700</v>
      </c>
      <c r="B14" s="26" t="s">
        <v>56</v>
      </c>
      <c r="C14" s="26"/>
      <c r="D14" s="24"/>
      <c r="E14" s="24">
        <v>42000</v>
      </c>
      <c r="F14" s="24"/>
      <c r="L14">
        <f>2013100-1500000</f>
        <v>513100</v>
      </c>
    </row>
    <row r="15" spans="1:12" x14ac:dyDescent="0.3">
      <c r="A15" s="12">
        <v>45700</v>
      </c>
      <c r="B15" s="26" t="s">
        <v>49</v>
      </c>
      <c r="C15" s="26"/>
      <c r="D15" s="24"/>
      <c r="E15" s="24">
        <v>12500</v>
      </c>
      <c r="F15" s="24"/>
    </row>
    <row r="16" spans="1:12" x14ac:dyDescent="0.3">
      <c r="A16" s="12">
        <v>45700</v>
      </c>
      <c r="B16" s="26" t="s">
        <v>44</v>
      </c>
      <c r="C16" s="26"/>
      <c r="D16" s="24"/>
      <c r="E16" s="24">
        <v>50000</v>
      </c>
      <c r="F16" s="24"/>
    </row>
    <row r="17" spans="1:6" x14ac:dyDescent="0.3">
      <c r="A17" s="12">
        <v>45700</v>
      </c>
      <c r="B17" s="26" t="s">
        <v>85</v>
      </c>
      <c r="C17" s="26"/>
      <c r="D17" s="24"/>
      <c r="E17" s="24">
        <v>65700</v>
      </c>
      <c r="F17" s="24"/>
    </row>
    <row r="18" spans="1:6" x14ac:dyDescent="0.3">
      <c r="A18" s="12">
        <v>45700</v>
      </c>
      <c r="B18" s="26" t="s">
        <v>85</v>
      </c>
      <c r="C18" s="26"/>
      <c r="D18" s="24"/>
      <c r="E18" s="24">
        <v>7500</v>
      </c>
      <c r="F18" s="24"/>
    </row>
    <row r="19" spans="1:6" x14ac:dyDescent="0.3">
      <c r="A19" s="12">
        <v>46003</v>
      </c>
      <c r="B19" s="26" t="s">
        <v>3</v>
      </c>
      <c r="C19" s="26"/>
      <c r="D19" s="24"/>
      <c r="E19" s="24">
        <v>5500</v>
      </c>
      <c r="F19" s="24"/>
    </row>
    <row r="20" spans="1:6" x14ac:dyDescent="0.3">
      <c r="A20" s="12">
        <v>46003</v>
      </c>
      <c r="B20" s="26" t="s">
        <v>49</v>
      </c>
      <c r="C20" s="26"/>
      <c r="D20" s="24"/>
      <c r="E20" s="24">
        <v>513100</v>
      </c>
      <c r="F20" s="24"/>
    </row>
    <row r="21" spans="1:6" x14ac:dyDescent="0.3">
      <c r="A21" s="12">
        <v>46003</v>
      </c>
      <c r="B21" s="26" t="s">
        <v>86</v>
      </c>
      <c r="C21" s="26"/>
      <c r="D21" s="24"/>
      <c r="E21" s="24">
        <v>49500</v>
      </c>
      <c r="F21" s="24"/>
    </row>
    <row r="22" spans="1:6" x14ac:dyDescent="0.3">
      <c r="A22" s="12">
        <v>46003</v>
      </c>
      <c r="B22" s="26" t="s">
        <v>90</v>
      </c>
      <c r="C22" s="26"/>
      <c r="D22" s="24"/>
      <c r="E22" s="24">
        <v>10000</v>
      </c>
      <c r="F22" s="24"/>
    </row>
    <row r="23" spans="1:6" x14ac:dyDescent="0.3">
      <c r="A23" s="12">
        <v>46003</v>
      </c>
      <c r="B23" s="26" t="s">
        <v>91</v>
      </c>
      <c r="C23" s="26"/>
      <c r="D23" s="24"/>
      <c r="E23" s="24">
        <v>1000</v>
      </c>
      <c r="F23" s="24"/>
    </row>
    <row r="24" spans="1:6" x14ac:dyDescent="0.3">
      <c r="A24" s="12">
        <v>46003</v>
      </c>
      <c r="B24" s="26"/>
      <c r="C24" s="26"/>
      <c r="D24" s="24"/>
      <c r="E24" s="24"/>
      <c r="F24" s="24"/>
    </row>
    <row r="25" spans="1:6" x14ac:dyDescent="0.3">
      <c r="A25" s="12">
        <v>46003</v>
      </c>
      <c r="B25" s="26"/>
      <c r="C25" s="26"/>
      <c r="D25" s="24"/>
      <c r="E25" s="24"/>
      <c r="F25" s="24"/>
    </row>
    <row r="26" spans="1:6" x14ac:dyDescent="0.3">
      <c r="A26" s="12">
        <v>46003</v>
      </c>
      <c r="B26" s="26"/>
      <c r="C26" s="26"/>
      <c r="D26" s="24"/>
      <c r="E26" s="24"/>
      <c r="F26" s="24"/>
    </row>
    <row r="27" spans="1:6" x14ac:dyDescent="0.3">
      <c r="A27" s="12">
        <v>46003</v>
      </c>
      <c r="B27" s="26"/>
      <c r="C27" s="26"/>
      <c r="D27" s="24"/>
      <c r="E27" s="24"/>
      <c r="F27" s="24"/>
    </row>
    <row r="28" spans="1:6" x14ac:dyDescent="0.3">
      <c r="A28" s="12">
        <v>46003</v>
      </c>
      <c r="B28" s="26"/>
      <c r="C28" s="26"/>
      <c r="D28" s="24"/>
      <c r="E28" s="24"/>
      <c r="F28" s="24"/>
    </row>
    <row r="29" spans="1:6" x14ac:dyDescent="0.3">
      <c r="A29" s="12">
        <v>46003</v>
      </c>
      <c r="B29" s="26"/>
      <c r="C29" s="26" t="s">
        <v>50</v>
      </c>
      <c r="D29" s="24"/>
      <c r="E29" s="24"/>
      <c r="F29" s="24"/>
    </row>
    <row r="30" spans="1:6" x14ac:dyDescent="0.3">
      <c r="A30" s="12">
        <v>46003</v>
      </c>
      <c r="B30" s="26"/>
      <c r="C30" s="26"/>
      <c r="D30" s="24"/>
      <c r="E30" s="24"/>
      <c r="F30" s="24"/>
    </row>
    <row r="31" spans="1:6" x14ac:dyDescent="0.3">
      <c r="A31" s="12">
        <v>46003</v>
      </c>
      <c r="B31" s="26"/>
      <c r="C31" s="26"/>
      <c r="D31" s="24"/>
      <c r="E31" s="24"/>
      <c r="F31" s="24"/>
    </row>
    <row r="32" spans="1:6" x14ac:dyDescent="0.3">
      <c r="A32" s="12">
        <v>46003</v>
      </c>
      <c r="B32" s="26"/>
      <c r="C32" s="26"/>
      <c r="D32" s="24"/>
      <c r="E32" s="24"/>
      <c r="F32" s="24"/>
    </row>
    <row r="33" spans="1:6" x14ac:dyDescent="0.3">
      <c r="A33" s="12">
        <v>46003</v>
      </c>
      <c r="B33" s="26"/>
      <c r="C33" s="26"/>
      <c r="D33" s="24"/>
      <c r="E33" s="24"/>
      <c r="F33" s="24"/>
    </row>
    <row r="34" spans="1:6" x14ac:dyDescent="0.3">
      <c r="A34" s="12" t="s">
        <v>52</v>
      </c>
      <c r="B34" s="26"/>
      <c r="C34" s="26"/>
      <c r="D34" s="24"/>
      <c r="E34" s="24"/>
      <c r="F34" s="24"/>
    </row>
    <row r="35" spans="1:6" x14ac:dyDescent="0.3">
      <c r="A35" s="12" t="s">
        <v>52</v>
      </c>
      <c r="B35" s="26"/>
      <c r="C35" s="26"/>
      <c r="D35" s="24"/>
      <c r="E35" s="24"/>
      <c r="F35" s="24"/>
    </row>
    <row r="36" spans="1:6" x14ac:dyDescent="0.3">
      <c r="A36" s="12"/>
      <c r="B36" s="26"/>
      <c r="C36" s="26"/>
      <c r="D36" s="24"/>
      <c r="E36" s="24"/>
      <c r="F36" s="24"/>
    </row>
    <row r="37" spans="1:6" x14ac:dyDescent="0.3">
      <c r="A37" s="27"/>
      <c r="B37" s="23"/>
      <c r="C37" s="23"/>
      <c r="D37" s="22"/>
      <c r="E37" s="22"/>
      <c r="F37" s="22"/>
    </row>
    <row r="38" spans="1:6" x14ac:dyDescent="0.3">
      <c r="A38" s="27"/>
      <c r="B38" s="23"/>
      <c r="C38" s="23"/>
      <c r="D38" s="22"/>
      <c r="E38" s="22"/>
      <c r="F38" s="22"/>
    </row>
    <row r="39" spans="1:6" x14ac:dyDescent="0.3">
      <c r="A39" s="27"/>
      <c r="B39" s="23"/>
      <c r="C39" s="23"/>
      <c r="D39" s="22"/>
      <c r="E39" s="22">
        <f>SUM(E2:E38)</f>
        <v>1196300</v>
      </c>
      <c r="F39" s="22"/>
    </row>
    <row r="40" spans="1:6" x14ac:dyDescent="0.3">
      <c r="A40" s="27"/>
      <c r="B40" s="23"/>
      <c r="C40" s="23"/>
      <c r="D40" s="22"/>
      <c r="E40" s="22"/>
      <c r="F4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topLeftCell="A4" workbookViewId="0">
      <selection activeCell="A24" sqref="A24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89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REVENUE!M35</f>
        <v>2627100</v>
      </c>
    </row>
    <row r="5" spans="1:9" x14ac:dyDescent="0.3">
      <c r="A5" t="s">
        <v>87</v>
      </c>
      <c r="B5" s="4">
        <v>1450000</v>
      </c>
      <c r="C5" s="8"/>
    </row>
    <row r="6" spans="1:9" x14ac:dyDescent="0.3">
      <c r="A6" t="s">
        <v>28</v>
      </c>
      <c r="B6" s="4">
        <f>MEDICATIONS!E18</f>
        <v>536100</v>
      </c>
      <c r="E6" s="4"/>
    </row>
    <row r="7" spans="1:9" x14ac:dyDescent="0.3">
      <c r="A7" t="s">
        <v>15</v>
      </c>
      <c r="F7" s="4"/>
      <c r="G7" s="4"/>
    </row>
    <row r="8" spans="1:9" x14ac:dyDescent="0.3">
      <c r="A8" t="s">
        <v>88</v>
      </c>
      <c r="B8" s="4">
        <v>1610000</v>
      </c>
      <c r="E8" s="4"/>
      <c r="F8" s="28"/>
      <c r="G8" s="4"/>
    </row>
    <row r="9" spans="1:9" ht="15" thickBot="1" x14ac:dyDescent="0.35">
      <c r="A9" t="s">
        <v>16</v>
      </c>
      <c r="C9" s="4">
        <f>B5+B6+B7-B8</f>
        <v>376100</v>
      </c>
      <c r="E9" s="28"/>
      <c r="F9" s="28"/>
      <c r="I9" s="28"/>
    </row>
    <row r="10" spans="1:9" ht="15" thickBot="1" x14ac:dyDescent="0.35">
      <c r="A10" s="5" t="s">
        <v>17</v>
      </c>
      <c r="B10" s="6"/>
      <c r="C10" s="7">
        <f>C4-C9</f>
        <v>2251000</v>
      </c>
      <c r="F10" s="4"/>
      <c r="I10" s="16"/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170000+1445000</f>
        <v>1615000</v>
      </c>
      <c r="F12" s="28"/>
    </row>
    <row r="13" spans="1:9" x14ac:dyDescent="0.3">
      <c r="A13" t="s">
        <v>35</v>
      </c>
      <c r="B13" s="4">
        <f>'MAINTENANCE-OFFICE SUPPLIES'!E21</f>
        <v>528700</v>
      </c>
      <c r="F13" s="19"/>
    </row>
    <row r="14" spans="1:9" x14ac:dyDescent="0.3">
      <c r="A14" t="s">
        <v>20</v>
      </c>
      <c r="B14" s="4">
        <f>'MAINTENANCE-OFFICE SUPPLIES'!E30</f>
        <v>131500</v>
      </c>
      <c r="F14" s="28"/>
    </row>
    <row r="15" spans="1:9" x14ac:dyDescent="0.3">
      <c r="A15" t="s">
        <v>39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2275200</v>
      </c>
      <c r="G16" s="28"/>
    </row>
    <row r="17" spans="1:7" ht="15" thickBot="1" x14ac:dyDescent="0.35">
      <c r="A17" s="5" t="s">
        <v>22</v>
      </c>
      <c r="B17" s="6"/>
      <c r="C17" s="7">
        <f>C10-C16</f>
        <v>-24200</v>
      </c>
      <c r="F17" s="28"/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f>13500+84000+16200+8000+9200+20400+5000+18200+65800+8000</f>
        <v>248300</v>
      </c>
    </row>
    <row r="22" spans="1:7" x14ac:dyDescent="0.3">
      <c r="A22" t="s">
        <v>57</v>
      </c>
      <c r="C22" s="4">
        <v>25800</v>
      </c>
    </row>
    <row r="23" spans="1:7" x14ac:dyDescent="0.3">
      <c r="A23" t="s">
        <v>55</v>
      </c>
      <c r="C23" s="4">
        <v>312000</v>
      </c>
      <c r="G23" s="4"/>
    </row>
    <row r="24" spans="1:7" x14ac:dyDescent="0.3">
      <c r="A24" s="16" t="s">
        <v>45</v>
      </c>
      <c r="C24" s="4">
        <v>148000</v>
      </c>
    </row>
    <row r="25" spans="1:7" x14ac:dyDescent="0.3">
      <c r="A25" s="16"/>
      <c r="C25" s="4">
        <f>C21+C22+C23+C24</f>
        <v>734100</v>
      </c>
    </row>
    <row r="26" spans="1:7" x14ac:dyDescent="0.3">
      <c r="A26" t="s">
        <v>40</v>
      </c>
      <c r="C26" s="4">
        <f>C17+C25</f>
        <v>709900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opLeftCell="A16" zoomScale="85" zoomScaleNormal="85" workbookViewId="0">
      <selection activeCell="A13" sqref="A13:XFD15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12" x14ac:dyDescent="0.3">
      <c r="A1" s="22" t="s">
        <v>1</v>
      </c>
      <c r="B1" s="23" t="s">
        <v>12</v>
      </c>
      <c r="C1" s="23"/>
      <c r="D1" s="30" t="s">
        <v>11</v>
      </c>
      <c r="E1" s="22" t="s">
        <v>0</v>
      </c>
    </row>
    <row r="2" spans="1:12" ht="15.6" x14ac:dyDescent="0.3">
      <c r="A2" s="12">
        <v>45700</v>
      </c>
      <c r="B2" s="26" t="s">
        <v>78</v>
      </c>
      <c r="C2" s="26"/>
      <c r="D2" s="24"/>
      <c r="E2" s="24">
        <v>109000</v>
      </c>
      <c r="F2" s="24"/>
    </row>
    <row r="3" spans="1:12" ht="15.6" x14ac:dyDescent="0.3">
      <c r="A3" s="12">
        <v>45700</v>
      </c>
      <c r="B3" s="26" t="s">
        <v>79</v>
      </c>
      <c r="C3" s="26"/>
      <c r="D3" s="24"/>
      <c r="E3" s="24">
        <f>4000+6000+9000+4000</f>
        <v>23000</v>
      </c>
      <c r="F3" s="24"/>
    </row>
    <row r="4" spans="1:12" ht="15.6" x14ac:dyDescent="0.3">
      <c r="A4" s="12">
        <v>45700</v>
      </c>
      <c r="B4" s="26" t="s">
        <v>80</v>
      </c>
      <c r="C4" s="26"/>
      <c r="D4" s="24"/>
      <c r="E4" s="24">
        <v>150000</v>
      </c>
      <c r="F4" s="24"/>
    </row>
    <row r="5" spans="1:12" ht="15.6" x14ac:dyDescent="0.3">
      <c r="A5" s="12">
        <v>45700</v>
      </c>
      <c r="B5" s="26" t="s">
        <v>81</v>
      </c>
      <c r="C5" s="26"/>
      <c r="D5" s="24"/>
      <c r="E5" s="24">
        <v>40000</v>
      </c>
      <c r="F5" s="24"/>
    </row>
    <row r="6" spans="1:12" ht="15.6" x14ac:dyDescent="0.3">
      <c r="A6" s="12">
        <v>45700</v>
      </c>
      <c r="B6" s="26" t="s">
        <v>92</v>
      </c>
      <c r="C6" s="26"/>
      <c r="D6" s="24"/>
      <c r="E6" s="24">
        <v>2000</v>
      </c>
      <c r="F6" s="24"/>
    </row>
    <row r="7" spans="1:12" ht="15.6" x14ac:dyDescent="0.3">
      <c r="A7" s="12">
        <v>45700</v>
      </c>
      <c r="B7" s="26" t="s">
        <v>54</v>
      </c>
      <c r="C7" s="26"/>
      <c r="D7" s="24"/>
      <c r="E7" s="24">
        <v>3000</v>
      </c>
      <c r="F7" s="24"/>
    </row>
    <row r="8" spans="1:12" ht="15.6" x14ac:dyDescent="0.3">
      <c r="A8" s="12">
        <v>45700</v>
      </c>
      <c r="B8" s="26" t="s">
        <v>83</v>
      </c>
      <c r="C8" s="26"/>
      <c r="D8" s="24"/>
      <c r="E8" s="24">
        <v>23500</v>
      </c>
      <c r="F8" s="24"/>
      <c r="L8">
        <f>13500+17000+14000+5000+10000</f>
        <v>59500</v>
      </c>
    </row>
    <row r="9" spans="1:12" ht="15.6" x14ac:dyDescent="0.3">
      <c r="A9" s="12">
        <v>45700</v>
      </c>
      <c r="B9" s="26" t="s">
        <v>53</v>
      </c>
      <c r="C9" s="26"/>
      <c r="D9" s="24"/>
      <c r="E9" s="24">
        <v>2500</v>
      </c>
      <c r="F9" s="24"/>
    </row>
    <row r="10" spans="1:12" ht="15.6" x14ac:dyDescent="0.3">
      <c r="A10" s="12">
        <v>45700</v>
      </c>
      <c r="B10" s="26" t="s">
        <v>56</v>
      </c>
      <c r="C10" s="26"/>
      <c r="D10" s="24"/>
      <c r="E10" s="24">
        <v>42000</v>
      </c>
      <c r="F10" s="24"/>
      <c r="L10">
        <f>2013100-1500000</f>
        <v>513100</v>
      </c>
    </row>
    <row r="11" spans="1:12" ht="15.6" x14ac:dyDescent="0.3">
      <c r="A11" s="12">
        <v>45700</v>
      </c>
      <c r="B11" s="26" t="s">
        <v>85</v>
      </c>
      <c r="C11" s="26"/>
      <c r="D11" s="24"/>
      <c r="E11" s="24">
        <v>65700</v>
      </c>
      <c r="F11" s="24"/>
    </row>
    <row r="12" spans="1:12" ht="15.6" x14ac:dyDescent="0.3">
      <c r="A12" s="12">
        <v>45700</v>
      </c>
      <c r="B12" s="26" t="s">
        <v>85</v>
      </c>
      <c r="C12" s="26"/>
      <c r="D12" s="24"/>
      <c r="E12" s="24">
        <v>7500</v>
      </c>
      <c r="F12" s="24"/>
    </row>
    <row r="13" spans="1:12" ht="15.6" x14ac:dyDescent="0.3">
      <c r="A13" s="12">
        <v>46003</v>
      </c>
      <c r="B13" s="26" t="s">
        <v>86</v>
      </c>
      <c r="C13" s="26"/>
      <c r="D13" s="24"/>
      <c r="E13" s="24">
        <v>49500</v>
      </c>
      <c r="F13" s="24"/>
    </row>
    <row r="14" spans="1:12" ht="15.6" x14ac:dyDescent="0.3">
      <c r="A14" s="12">
        <v>46003</v>
      </c>
      <c r="B14" s="26" t="s">
        <v>90</v>
      </c>
      <c r="C14" s="26"/>
      <c r="D14" s="24"/>
      <c r="E14" s="24">
        <v>10000</v>
      </c>
      <c r="F14" s="24"/>
    </row>
    <row r="15" spans="1:12" ht="15.6" x14ac:dyDescent="0.3">
      <c r="A15" s="12">
        <v>46003</v>
      </c>
      <c r="B15" s="26" t="s">
        <v>91</v>
      </c>
      <c r="C15" s="26"/>
      <c r="D15" s="24"/>
      <c r="E15" s="24">
        <v>1000</v>
      </c>
      <c r="F15" s="24"/>
    </row>
    <row r="16" spans="1:12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/>
      <c r="F18" s="24"/>
    </row>
    <row r="19" spans="1:6" ht="15.6" x14ac:dyDescent="0.3">
      <c r="A19" s="12"/>
      <c r="B19" s="26"/>
      <c r="C19" s="26"/>
      <c r="D19" s="24"/>
      <c r="E19" s="24"/>
      <c r="F19" s="24"/>
    </row>
    <row r="20" spans="1:6" ht="15.6" x14ac:dyDescent="0.3">
      <c r="A20" s="12"/>
      <c r="B20" s="26"/>
      <c r="C20" s="26"/>
      <c r="D20" s="24"/>
      <c r="E20" s="24"/>
      <c r="F20" s="24"/>
    </row>
    <row r="21" spans="1:6" x14ac:dyDescent="0.3">
      <c r="A21" s="25"/>
      <c r="B21" s="22" t="s">
        <v>9</v>
      </c>
      <c r="C21" s="22"/>
      <c r="D21" s="30"/>
      <c r="E21" s="22">
        <f>SUM(E2:E20)</f>
        <v>528700</v>
      </c>
    </row>
    <row r="22" spans="1:6" x14ac:dyDescent="0.3">
      <c r="A22" s="18"/>
      <c r="E22" s="31"/>
    </row>
    <row r="23" spans="1:6" x14ac:dyDescent="0.3">
      <c r="A23" s="18"/>
    </row>
    <row r="24" spans="1:6" x14ac:dyDescent="0.3">
      <c r="A24" s="18"/>
    </row>
    <row r="25" spans="1:6" x14ac:dyDescent="0.3">
      <c r="A25" s="18"/>
      <c r="E25" s="32"/>
    </row>
    <row r="26" spans="1:6" ht="15.6" x14ac:dyDescent="0.3">
      <c r="A26" s="12">
        <v>45700</v>
      </c>
      <c r="B26" s="26" t="s">
        <v>44</v>
      </c>
      <c r="C26" s="26"/>
      <c r="D26" s="24"/>
      <c r="E26" s="24">
        <v>50000</v>
      </c>
      <c r="F26" s="24"/>
    </row>
    <row r="27" spans="1:6" ht="15.6" x14ac:dyDescent="0.3">
      <c r="A27" s="12" t="s">
        <v>59</v>
      </c>
      <c r="B27" s="26" t="s">
        <v>44</v>
      </c>
      <c r="C27" s="26"/>
      <c r="D27" s="24"/>
      <c r="E27" s="24">
        <v>31500</v>
      </c>
      <c r="F27" s="24"/>
    </row>
    <row r="28" spans="1:6" ht="15.6" x14ac:dyDescent="0.3">
      <c r="A28" s="12" t="s">
        <v>72</v>
      </c>
      <c r="B28" s="26" t="s">
        <v>44</v>
      </c>
      <c r="C28" s="26"/>
      <c r="D28" s="24"/>
      <c r="E28" s="24">
        <v>50000</v>
      </c>
      <c r="F28" s="24"/>
    </row>
    <row r="29" spans="1:6" ht="15.6" x14ac:dyDescent="0.3">
      <c r="A29" s="12"/>
      <c r="B29" s="26"/>
      <c r="C29" s="26"/>
      <c r="D29" s="24"/>
      <c r="E29" s="24"/>
      <c r="F29" s="24"/>
    </row>
    <row r="30" spans="1:6" x14ac:dyDescent="0.3">
      <c r="A30" s="18"/>
      <c r="E30" s="22">
        <f>SUM(E26:E29)</f>
        <v>131500</v>
      </c>
    </row>
    <row r="31" spans="1:6" x14ac:dyDescent="0.3">
      <c r="E3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activeCell="B1" sqref="B1"/>
    </sheetView>
  </sheetViews>
  <sheetFormatPr defaultRowHeight="14.4" x14ac:dyDescent="0.3"/>
  <cols>
    <col min="1" max="1" width="13.44140625" style="21" customWidth="1"/>
    <col min="2" max="2" width="28" customWidth="1"/>
    <col min="3" max="3" width="16.88671875" customWidth="1"/>
    <col min="4" max="4" width="10.6640625" customWidth="1"/>
  </cols>
  <sheetData>
    <row r="1" spans="1:6" ht="28.8" x14ac:dyDescent="0.3">
      <c r="A1" s="12">
        <v>45700</v>
      </c>
      <c r="B1" s="26" t="s">
        <v>82</v>
      </c>
      <c r="C1" s="26"/>
      <c r="D1" s="24"/>
      <c r="E1" s="24">
        <v>1500</v>
      </c>
      <c r="F1" s="24"/>
    </row>
    <row r="2" spans="1:6" ht="15.6" x14ac:dyDescent="0.3">
      <c r="A2" s="12">
        <v>45700</v>
      </c>
      <c r="B2" s="26" t="s">
        <v>84</v>
      </c>
      <c r="C2" s="26"/>
      <c r="D2" s="24"/>
      <c r="E2" s="24">
        <v>3500</v>
      </c>
      <c r="F2" s="24"/>
    </row>
    <row r="3" spans="1:6" ht="15.6" x14ac:dyDescent="0.3">
      <c r="A3" s="12">
        <v>45700</v>
      </c>
      <c r="B3" s="26" t="s">
        <v>49</v>
      </c>
      <c r="C3" s="26"/>
      <c r="D3" s="24"/>
      <c r="E3" s="24">
        <v>12500</v>
      </c>
      <c r="F3" s="24"/>
    </row>
    <row r="4" spans="1:6" ht="15.6" x14ac:dyDescent="0.3">
      <c r="A4" s="12">
        <v>46003</v>
      </c>
      <c r="B4" s="26" t="s">
        <v>3</v>
      </c>
      <c r="C4" s="26"/>
      <c r="D4" s="24"/>
      <c r="E4" s="24">
        <v>5500</v>
      </c>
      <c r="F4" s="24"/>
    </row>
    <row r="5" spans="1:6" ht="15.6" x14ac:dyDescent="0.3">
      <c r="A5" s="12">
        <v>46003</v>
      </c>
      <c r="B5" s="26" t="s">
        <v>49</v>
      </c>
      <c r="C5" s="26"/>
      <c r="D5" s="24"/>
      <c r="E5" s="24">
        <v>513100</v>
      </c>
      <c r="F5" s="24"/>
    </row>
    <row r="6" spans="1:6" ht="15.6" x14ac:dyDescent="0.3">
      <c r="A6" s="12"/>
      <c r="B6" s="26"/>
      <c r="C6" s="26"/>
      <c r="D6" s="24"/>
      <c r="E6" s="24"/>
      <c r="F6" s="24"/>
    </row>
    <row r="7" spans="1:6" ht="15.6" x14ac:dyDescent="0.3">
      <c r="A7" s="12"/>
      <c r="B7" s="26"/>
      <c r="C7" s="26"/>
      <c r="D7" s="24"/>
      <c r="E7" s="24"/>
      <c r="F7" s="24"/>
    </row>
    <row r="8" spans="1:6" ht="15.6" x14ac:dyDescent="0.3">
      <c r="A8" s="12"/>
      <c r="B8" s="26"/>
      <c r="C8" s="26"/>
      <c r="D8" s="24"/>
      <c r="E8" s="24"/>
      <c r="F8" s="24"/>
    </row>
    <row r="9" spans="1:6" ht="15.6" x14ac:dyDescent="0.3">
      <c r="A9" s="12"/>
      <c r="B9" s="26"/>
      <c r="C9" s="26"/>
      <c r="D9" s="24"/>
      <c r="E9" s="24"/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>
        <f>SUM(E1:E17)</f>
        <v>536100</v>
      </c>
      <c r="F18" s="24"/>
    </row>
    <row r="19" spans="1:6" x14ac:dyDescent="0.3">
      <c r="A19" s="20"/>
      <c r="B19" s="3"/>
    </row>
    <row r="20" spans="1:6" x14ac:dyDescent="0.3">
      <c r="A20" s="20"/>
      <c r="B20" s="3"/>
    </row>
    <row r="21" spans="1:6" ht="15.6" x14ac:dyDescent="0.3">
      <c r="A21" s="12"/>
      <c r="B21" s="26"/>
      <c r="C21" s="26"/>
      <c r="D21" s="24"/>
      <c r="E21" s="24"/>
      <c r="F21" s="24"/>
    </row>
    <row r="22" spans="1:6" ht="15.6" x14ac:dyDescent="0.3">
      <c r="A22" s="12"/>
      <c r="B22" s="26"/>
      <c r="C22" s="26"/>
      <c r="D22" s="24"/>
      <c r="E22" s="24"/>
      <c r="F22" s="24"/>
    </row>
    <row r="23" spans="1:6" ht="15.6" x14ac:dyDescent="0.3">
      <c r="A23" s="12"/>
      <c r="B23" s="26"/>
      <c r="C23" s="26"/>
      <c r="D23" s="24"/>
      <c r="E23" s="24"/>
      <c r="F23" s="24"/>
    </row>
    <row r="24" spans="1:6" x14ac:dyDescent="0.3">
      <c r="E24">
        <f>SUM(E21:E23)</f>
        <v>0</v>
      </c>
    </row>
    <row r="26" spans="1:6" x14ac:dyDescent="0.3">
      <c r="E26">
        <f>E19+E24</f>
        <v>0</v>
      </c>
    </row>
    <row r="29" spans="1:6" x14ac:dyDescent="0.3">
      <c r="C29" t="s">
        <v>47</v>
      </c>
      <c r="D29">
        <f>E19</f>
        <v>0</v>
      </c>
    </row>
    <row r="30" spans="1:6" x14ac:dyDescent="0.3">
      <c r="C30" t="s">
        <v>48</v>
      </c>
      <c r="D30">
        <f>E24</f>
        <v>0</v>
      </c>
    </row>
    <row r="32" spans="1:6" x14ac:dyDescent="0.3">
      <c r="D32">
        <f>D29+D30+D31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9"/>
  <sheetViews>
    <sheetView workbookViewId="0">
      <selection activeCell="F15" sqref="F15"/>
    </sheetView>
  </sheetViews>
  <sheetFormatPr defaultRowHeight="14.4" x14ac:dyDescent="0.3"/>
  <cols>
    <col min="1" max="1" width="19" style="17" customWidth="1"/>
    <col min="2" max="2" width="24.44140625" customWidth="1"/>
    <col min="3" max="3" width="10.109375" bestFit="1" customWidth="1"/>
    <col min="7" max="7" width="11.6640625" bestFit="1" customWidth="1"/>
    <col min="8" max="8" width="13.33203125" bestFit="1" customWidth="1"/>
    <col min="9" max="9" width="10.109375" bestFit="1" customWidth="1"/>
    <col min="11" max="11" width="11.664062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449</v>
      </c>
      <c r="C3" s="1"/>
      <c r="D3" s="1"/>
      <c r="E3" s="1"/>
      <c r="F3" s="1">
        <v>1450000</v>
      </c>
      <c r="G3" s="1"/>
    </row>
    <row r="4" spans="1:16" ht="15.6" x14ac:dyDescent="0.3">
      <c r="A4" s="1"/>
      <c r="B4" s="1" t="s">
        <v>450</v>
      </c>
      <c r="C4" s="1"/>
      <c r="D4" s="1"/>
      <c r="E4" s="1"/>
      <c r="F4" s="1">
        <v>536100</v>
      </c>
      <c r="G4" s="1"/>
    </row>
    <row r="5" spans="1:16" ht="15.6" x14ac:dyDescent="0.3">
      <c r="A5" s="1"/>
      <c r="B5" s="1" t="s">
        <v>451</v>
      </c>
      <c r="C5" s="1"/>
      <c r="D5" s="1"/>
      <c r="E5" s="1"/>
      <c r="F5" s="1"/>
      <c r="G5" s="1"/>
    </row>
    <row r="6" spans="1:16" ht="16.2" thickBot="1" x14ac:dyDescent="0.35">
      <c r="A6" s="1"/>
      <c r="B6" s="1" t="s">
        <v>452</v>
      </c>
      <c r="C6" s="1"/>
      <c r="D6" s="1"/>
      <c r="E6" s="1"/>
      <c r="F6" s="10">
        <f>F3+F4+F5</f>
        <v>1986100</v>
      </c>
      <c r="G6" s="1"/>
    </row>
    <row r="7" spans="1:16" ht="16.2" thickBot="1" x14ac:dyDescent="0.35">
      <c r="A7" s="1"/>
      <c r="B7" s="1"/>
      <c r="C7" s="1"/>
      <c r="D7" s="1"/>
      <c r="E7" s="1"/>
      <c r="F7" s="15"/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447</v>
      </c>
      <c r="H10" s="28"/>
      <c r="K10" s="1"/>
      <c r="L10" s="1"/>
      <c r="M10" s="1"/>
      <c r="N10" s="1"/>
      <c r="O10" s="1"/>
      <c r="P10" s="1"/>
    </row>
    <row r="11" spans="1:16" ht="15.6" x14ac:dyDescent="0.3">
      <c r="B11" s="16" t="s">
        <v>45</v>
      </c>
      <c r="F11">
        <v>18</v>
      </c>
      <c r="K11" s="1"/>
      <c r="L11" s="1"/>
      <c r="M11" s="1"/>
      <c r="N11" s="1"/>
      <c r="O11" s="1"/>
      <c r="P11" s="1"/>
    </row>
    <row r="12" spans="1:16" ht="15.6" x14ac:dyDescent="0.3">
      <c r="B12" t="s">
        <v>444</v>
      </c>
      <c r="F12">
        <v>91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445</v>
      </c>
      <c r="F13">
        <v>96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3">
        <f>F12+F13+F11</f>
        <v>205</v>
      </c>
    </row>
    <row r="15" spans="1:16" x14ac:dyDescent="0.3">
      <c r="B15" t="s">
        <v>446</v>
      </c>
      <c r="F15" t="s">
        <v>448</v>
      </c>
      <c r="H15" s="28"/>
    </row>
    <row r="16" spans="1:16" x14ac:dyDescent="0.3">
      <c r="H16" s="28"/>
    </row>
    <row r="17" spans="1:9" x14ac:dyDescent="0.3">
      <c r="A17" s="34" t="s">
        <v>46</v>
      </c>
      <c r="H17" s="4"/>
    </row>
    <row r="18" spans="1:9" x14ac:dyDescent="0.3">
      <c r="A18" s="17" t="s">
        <v>456</v>
      </c>
      <c r="G18" s="4"/>
      <c r="H18" s="4"/>
    </row>
    <row r="19" spans="1:9" x14ac:dyDescent="0.3">
      <c r="A19" s="17" t="s">
        <v>93</v>
      </c>
      <c r="G19" s="4"/>
      <c r="H19" s="4"/>
    </row>
    <row r="20" spans="1:9" x14ac:dyDescent="0.3">
      <c r="A20" s="17" t="s">
        <v>455</v>
      </c>
      <c r="G20" s="4"/>
      <c r="H20" s="4"/>
    </row>
    <row r="21" spans="1:9" x14ac:dyDescent="0.3">
      <c r="A21" s="17" t="s">
        <v>454</v>
      </c>
      <c r="G21" s="4"/>
      <c r="H21" s="4"/>
    </row>
    <row r="22" spans="1:9" x14ac:dyDescent="0.3">
      <c r="A22" s="17" t="s">
        <v>453</v>
      </c>
      <c r="I22" s="4"/>
    </row>
    <row r="23" spans="1:9" x14ac:dyDescent="0.3">
      <c r="A23" s="17" t="s">
        <v>94</v>
      </c>
      <c r="G23" s="4"/>
    </row>
    <row r="29" spans="1:9" x14ac:dyDescent="0.3">
      <c r="C2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topLeftCell="A8" workbookViewId="0">
      <selection activeCell="C22" sqref="C22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9" t="s">
        <v>89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REVENUE!E35</f>
        <v>197600</v>
      </c>
    </row>
    <row r="5" spans="1:9" x14ac:dyDescent="0.3">
      <c r="A5" t="s">
        <v>87</v>
      </c>
      <c r="B5" s="4">
        <v>340000</v>
      </c>
      <c r="C5" s="8"/>
    </row>
    <row r="6" spans="1:9" x14ac:dyDescent="0.3">
      <c r="A6" t="s">
        <v>28</v>
      </c>
      <c r="B6" s="4">
        <v>68000</v>
      </c>
    </row>
    <row r="7" spans="1:9" x14ac:dyDescent="0.3">
      <c r="A7" t="s">
        <v>15</v>
      </c>
      <c r="B7" s="4">
        <v>5000</v>
      </c>
      <c r="F7" s="4"/>
    </row>
    <row r="8" spans="1:9" x14ac:dyDescent="0.3">
      <c r="A8" t="s">
        <v>88</v>
      </c>
      <c r="B8" s="4">
        <v>349000</v>
      </c>
      <c r="F8" s="28"/>
      <c r="G8" s="4"/>
    </row>
    <row r="9" spans="1:9" ht="15" thickBot="1" x14ac:dyDescent="0.35">
      <c r="A9" t="s">
        <v>16</v>
      </c>
      <c r="C9" s="4">
        <f>B5+B6+B7-B8</f>
        <v>64000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133600</v>
      </c>
      <c r="F10" s="4"/>
      <c r="I10" s="28"/>
    </row>
    <row r="11" spans="1:9" x14ac:dyDescent="0.3">
      <c r="A11" s="2" t="s">
        <v>18</v>
      </c>
      <c r="F11" s="28"/>
    </row>
    <row r="12" spans="1:9" x14ac:dyDescent="0.3">
      <c r="A12" t="s">
        <v>19</v>
      </c>
      <c r="B12" s="4">
        <v>145000</v>
      </c>
      <c r="G12" s="4"/>
      <c r="I12" s="28"/>
    </row>
    <row r="13" spans="1:9" x14ac:dyDescent="0.3">
      <c r="A13" t="s">
        <v>35</v>
      </c>
      <c r="B13" s="4">
        <v>5000</v>
      </c>
      <c r="F13" s="19"/>
      <c r="G13" s="4"/>
      <c r="I13" s="28"/>
    </row>
    <row r="14" spans="1:9" x14ac:dyDescent="0.3">
      <c r="A14" t="s">
        <v>20</v>
      </c>
      <c r="B14" s="4">
        <v>20000</v>
      </c>
      <c r="G14" s="19"/>
    </row>
    <row r="15" spans="1:9" x14ac:dyDescent="0.3">
      <c r="A15" t="s">
        <v>39</v>
      </c>
      <c r="E15" s="4"/>
    </row>
    <row r="16" spans="1:9" ht="15" thickBot="1" x14ac:dyDescent="0.35">
      <c r="A16" t="s">
        <v>21</v>
      </c>
      <c r="C16" s="4">
        <f>B12+B13+B14+B15+B16</f>
        <v>170000</v>
      </c>
    </row>
    <row r="17" spans="1:7" ht="15" thickBot="1" x14ac:dyDescent="0.35">
      <c r="A17" s="5" t="s">
        <v>22</v>
      </c>
      <c r="B17" s="6"/>
      <c r="C17" s="7">
        <f>C10-C16</f>
        <v>-36400</v>
      </c>
    </row>
    <row r="18" spans="1:7" x14ac:dyDescent="0.3">
      <c r="G18" s="28"/>
    </row>
    <row r="20" spans="1:7" x14ac:dyDescent="0.3">
      <c r="F20" s="28"/>
      <c r="G20" s="28"/>
    </row>
    <row r="21" spans="1:7" x14ac:dyDescent="0.3">
      <c r="A21" t="s">
        <v>36</v>
      </c>
      <c r="C21" s="4">
        <v>-29000</v>
      </c>
      <c r="G21" s="28"/>
    </row>
    <row r="22" spans="1:7" x14ac:dyDescent="0.3">
      <c r="A22" t="s">
        <v>55</v>
      </c>
    </row>
    <row r="23" spans="1:7" x14ac:dyDescent="0.3">
      <c r="A23" t="s">
        <v>51</v>
      </c>
    </row>
    <row r="24" spans="1:7" x14ac:dyDescent="0.3">
      <c r="A24" s="16" t="s">
        <v>45</v>
      </c>
    </row>
    <row r="25" spans="1:7" x14ac:dyDescent="0.3">
      <c r="A25" s="16"/>
      <c r="C25" s="4">
        <f>C21+C22+C23+C24</f>
        <v>-29000</v>
      </c>
    </row>
    <row r="26" spans="1:7" x14ac:dyDescent="0.3">
      <c r="A26" t="s">
        <v>40</v>
      </c>
      <c r="C26" s="4">
        <f>C17+C25</f>
        <v>-65400</v>
      </c>
      <c r="G2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0"/>
  <sheetViews>
    <sheetView topLeftCell="A248" zoomScale="85" zoomScaleNormal="85" workbookViewId="0">
      <selection activeCell="J248" sqref="J1:K1048576"/>
    </sheetView>
  </sheetViews>
  <sheetFormatPr defaultColWidth="8.6640625" defaultRowHeight="13.8" x14ac:dyDescent="0.3"/>
  <cols>
    <col min="1" max="1" width="21.44140625" style="16" customWidth="1"/>
    <col min="2" max="2" width="7.44140625" style="16" customWidth="1"/>
    <col min="3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1" width="8.6640625" style="16" customWidth="1"/>
    <col min="12" max="16384" width="8.6640625" style="16"/>
  </cols>
  <sheetData>
    <row r="1" spans="1:11" x14ac:dyDescent="0.3">
      <c r="A1" s="35" t="s">
        <v>95</v>
      </c>
      <c r="B1" s="35"/>
      <c r="C1" s="36"/>
      <c r="D1" s="35"/>
      <c r="E1" s="36"/>
      <c r="F1" s="35"/>
      <c r="G1" s="35"/>
      <c r="H1" s="37"/>
      <c r="I1" s="35"/>
      <c r="J1" s="36"/>
      <c r="K1" s="36"/>
    </row>
    <row r="2" spans="1:11" x14ac:dyDescent="0.3">
      <c r="A2" s="38" t="s">
        <v>96</v>
      </c>
      <c r="B2" s="38"/>
      <c r="C2" s="39"/>
      <c r="D2" s="38"/>
      <c r="E2" s="39"/>
      <c r="F2" s="38"/>
      <c r="G2" s="38"/>
      <c r="H2" s="40"/>
      <c r="I2" s="41"/>
      <c r="J2" s="39"/>
      <c r="K2" s="39"/>
    </row>
    <row r="3" spans="1:11" ht="53.4" x14ac:dyDescent="0.3">
      <c r="A3" s="42"/>
      <c r="B3" s="43"/>
      <c r="C3" s="43"/>
      <c r="D3" s="43"/>
      <c r="E3" s="43"/>
      <c r="F3" s="43"/>
      <c r="G3" s="43" t="s">
        <v>97</v>
      </c>
      <c r="H3" s="44" t="s">
        <v>98</v>
      </c>
      <c r="I3" s="45" t="s">
        <v>0</v>
      </c>
      <c r="J3" s="43" t="s">
        <v>457</v>
      </c>
      <c r="K3" s="43" t="s">
        <v>458</v>
      </c>
    </row>
    <row r="4" spans="1:11" x14ac:dyDescent="0.3">
      <c r="A4" s="42" t="s">
        <v>99</v>
      </c>
      <c r="B4" s="43"/>
      <c r="C4" s="43"/>
      <c r="D4" s="43"/>
      <c r="E4" s="43"/>
      <c r="F4" s="43"/>
      <c r="G4" s="43"/>
      <c r="H4" s="44"/>
      <c r="I4" s="45"/>
      <c r="J4" s="43"/>
      <c r="K4" s="43"/>
    </row>
    <row r="5" spans="1:11" x14ac:dyDescent="0.3">
      <c r="A5" s="46" t="s">
        <v>100</v>
      </c>
      <c r="B5" s="47">
        <v>70</v>
      </c>
      <c r="C5" s="46"/>
      <c r="D5" s="47">
        <f>B5+C5</f>
        <v>70</v>
      </c>
      <c r="E5" s="46">
        <v>30</v>
      </c>
      <c r="F5" s="47"/>
      <c r="G5" s="47">
        <f>D5-E5-F5</f>
        <v>40</v>
      </c>
      <c r="H5" s="47">
        <v>30</v>
      </c>
      <c r="I5" s="35">
        <f>G5*H5</f>
        <v>1200</v>
      </c>
      <c r="J5" s="46">
        <v>50</v>
      </c>
      <c r="K5" s="46">
        <v>200</v>
      </c>
    </row>
    <row r="6" spans="1:11" x14ac:dyDescent="0.3">
      <c r="A6" s="46" t="s">
        <v>101</v>
      </c>
      <c r="B6" s="47"/>
      <c r="C6" s="46"/>
      <c r="D6" s="47">
        <f>B6+C6</f>
        <v>0</v>
      </c>
      <c r="E6" s="46"/>
      <c r="F6" s="47"/>
      <c r="G6" s="47">
        <f>D6-E6-F6</f>
        <v>0</v>
      </c>
      <c r="H6" s="48">
        <v>30</v>
      </c>
      <c r="I6" s="35">
        <f>G6*H6</f>
        <v>0</v>
      </c>
      <c r="J6" s="46">
        <v>1000</v>
      </c>
      <c r="K6" s="46">
        <v>8000</v>
      </c>
    </row>
    <row r="7" spans="1:11" x14ac:dyDescent="0.3">
      <c r="A7" s="46" t="s">
        <v>102</v>
      </c>
      <c r="B7" s="46">
        <v>1000</v>
      </c>
      <c r="C7" s="46">
        <v>1000</v>
      </c>
      <c r="D7" s="47">
        <f t="shared" ref="D7:D97" si="0">B7+C7</f>
        <v>2000</v>
      </c>
      <c r="E7" s="46">
        <v>2000</v>
      </c>
      <c r="F7" s="46"/>
      <c r="G7" s="47">
        <f t="shared" ref="G7:G132" si="1">D7-E7-F7</f>
        <v>0</v>
      </c>
      <c r="H7" s="48">
        <v>30</v>
      </c>
      <c r="I7" s="35">
        <f t="shared" ref="I7:I134" si="2">G7*H7</f>
        <v>0</v>
      </c>
      <c r="J7" s="46">
        <v>1000</v>
      </c>
      <c r="K7" s="46">
        <v>8000</v>
      </c>
    </row>
    <row r="8" spans="1:11" x14ac:dyDescent="0.3">
      <c r="A8" s="46" t="s">
        <v>103</v>
      </c>
      <c r="B8" s="46">
        <v>10</v>
      </c>
      <c r="C8" s="46">
        <v>20</v>
      </c>
      <c r="D8" s="47">
        <f t="shared" si="0"/>
        <v>30</v>
      </c>
      <c r="E8" s="46">
        <v>10</v>
      </c>
      <c r="F8" s="46"/>
      <c r="G8" s="47">
        <f t="shared" si="1"/>
        <v>20</v>
      </c>
      <c r="H8" s="48">
        <v>300</v>
      </c>
      <c r="I8" s="35">
        <f t="shared" si="2"/>
        <v>6000</v>
      </c>
      <c r="J8" s="46">
        <v>1000</v>
      </c>
      <c r="K8" s="46">
        <v>8000</v>
      </c>
    </row>
    <row r="9" spans="1:11" x14ac:dyDescent="0.3">
      <c r="A9" s="46" t="s">
        <v>104</v>
      </c>
      <c r="B9" s="46"/>
      <c r="C9" s="46"/>
      <c r="D9" s="47">
        <f t="shared" si="0"/>
        <v>0</v>
      </c>
      <c r="E9" s="46"/>
      <c r="F9" s="46"/>
      <c r="G9" s="47">
        <f t="shared" si="1"/>
        <v>0</v>
      </c>
      <c r="H9" s="48">
        <v>30</v>
      </c>
      <c r="I9" s="35">
        <f t="shared" si="2"/>
        <v>0</v>
      </c>
      <c r="J9" s="46">
        <v>1000</v>
      </c>
      <c r="K9" s="46">
        <v>4000</v>
      </c>
    </row>
    <row r="10" spans="1:11" x14ac:dyDescent="0.3">
      <c r="A10" s="46" t="s">
        <v>105</v>
      </c>
      <c r="B10" s="46">
        <v>20</v>
      </c>
      <c r="C10" s="46">
        <v>1000</v>
      </c>
      <c r="D10" s="47">
        <f t="shared" si="0"/>
        <v>1020</v>
      </c>
      <c r="E10" s="46">
        <v>1000</v>
      </c>
      <c r="F10" s="46"/>
      <c r="G10" s="47">
        <f t="shared" si="1"/>
        <v>20</v>
      </c>
      <c r="H10" s="48">
        <v>20</v>
      </c>
      <c r="I10" s="35">
        <f t="shared" si="2"/>
        <v>400</v>
      </c>
      <c r="J10" s="46">
        <v>1000</v>
      </c>
      <c r="K10" s="46">
        <v>5000</v>
      </c>
    </row>
    <row r="11" spans="1:11" x14ac:dyDescent="0.3">
      <c r="A11" s="46" t="s">
        <v>106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  <c r="J11" s="46">
        <v>200</v>
      </c>
      <c r="K11" s="46">
        <v>2000</v>
      </c>
    </row>
    <row r="12" spans="1:11" x14ac:dyDescent="0.3">
      <c r="A12" s="46" t="s">
        <v>107</v>
      </c>
      <c r="B12" s="46">
        <v>56</v>
      </c>
      <c r="C12" s="46"/>
      <c r="D12" s="47">
        <f t="shared" si="0"/>
        <v>56</v>
      </c>
      <c r="E12" s="46">
        <v>33</v>
      </c>
      <c r="F12" s="46"/>
      <c r="G12" s="47">
        <f t="shared" si="1"/>
        <v>23</v>
      </c>
      <c r="H12" s="48">
        <v>10</v>
      </c>
      <c r="I12" s="35">
        <f t="shared" si="2"/>
        <v>230</v>
      </c>
      <c r="J12" s="46">
        <v>30</v>
      </c>
      <c r="K12" s="46">
        <v>5000</v>
      </c>
    </row>
    <row r="13" spans="1:11" x14ac:dyDescent="0.3">
      <c r="A13" s="46" t="s">
        <v>108</v>
      </c>
      <c r="B13" s="46">
        <v>8000</v>
      </c>
      <c r="C13" s="46"/>
      <c r="D13" s="47">
        <f t="shared" si="0"/>
        <v>8000</v>
      </c>
      <c r="E13" s="46">
        <v>7000</v>
      </c>
      <c r="F13" s="46"/>
      <c r="G13" s="47">
        <f t="shared" si="1"/>
        <v>1000</v>
      </c>
      <c r="H13" s="48">
        <v>20</v>
      </c>
      <c r="I13" s="35">
        <f t="shared" si="2"/>
        <v>20000</v>
      </c>
      <c r="J13" s="46">
        <v>1000</v>
      </c>
      <c r="K13" s="46">
        <v>5000</v>
      </c>
    </row>
    <row r="14" spans="1:11" x14ac:dyDescent="0.3">
      <c r="A14" s="46" t="s">
        <v>109</v>
      </c>
      <c r="B14" s="46"/>
      <c r="C14" s="46"/>
      <c r="D14" s="47">
        <f t="shared" si="0"/>
        <v>0</v>
      </c>
      <c r="E14" s="46"/>
      <c r="F14" s="46"/>
      <c r="G14" s="47">
        <f t="shared" si="1"/>
        <v>0</v>
      </c>
      <c r="H14" s="48">
        <v>1500</v>
      </c>
      <c r="I14" s="35">
        <f t="shared" si="2"/>
        <v>0</v>
      </c>
      <c r="J14" s="46">
        <v>20</v>
      </c>
      <c r="K14" s="46">
        <v>100</v>
      </c>
    </row>
    <row r="15" spans="1:11" x14ac:dyDescent="0.3">
      <c r="A15" s="46" t="s">
        <v>110</v>
      </c>
      <c r="B15" s="46">
        <v>100</v>
      </c>
      <c r="C15" s="46"/>
      <c r="D15" s="47">
        <f t="shared" si="0"/>
        <v>100</v>
      </c>
      <c r="E15" s="46">
        <v>60</v>
      </c>
      <c r="F15" s="46"/>
      <c r="G15" s="47">
        <f t="shared" si="1"/>
        <v>40</v>
      </c>
      <c r="H15" s="48">
        <v>100</v>
      </c>
      <c r="I15" s="35">
        <f t="shared" si="2"/>
        <v>4000</v>
      </c>
      <c r="J15" s="46">
        <v>20</v>
      </c>
      <c r="K15" s="46">
        <v>200</v>
      </c>
    </row>
    <row r="16" spans="1:11" x14ac:dyDescent="0.3">
      <c r="A16" s="46" t="s">
        <v>111</v>
      </c>
      <c r="B16" s="46"/>
      <c r="C16" s="46"/>
      <c r="D16" s="47">
        <f t="shared" si="0"/>
        <v>0</v>
      </c>
      <c r="E16" s="46"/>
      <c r="F16" s="46"/>
      <c r="G16" s="47">
        <f t="shared" si="1"/>
        <v>0</v>
      </c>
      <c r="H16" s="48">
        <v>5</v>
      </c>
      <c r="I16" s="35">
        <f t="shared" si="2"/>
        <v>0</v>
      </c>
      <c r="J16" s="46">
        <v>20</v>
      </c>
      <c r="K16" s="46">
        <v>200</v>
      </c>
    </row>
    <row r="17" spans="1:11" x14ac:dyDescent="0.3">
      <c r="A17" s="46" t="s">
        <v>112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  <c r="J17" s="46">
        <v>10</v>
      </c>
      <c r="K17" s="46">
        <v>50</v>
      </c>
    </row>
    <row r="18" spans="1:11" x14ac:dyDescent="0.3">
      <c r="A18" s="46" t="s">
        <v>113</v>
      </c>
      <c r="B18" s="46"/>
      <c r="C18" s="46"/>
      <c r="D18" s="47">
        <f t="shared" si="0"/>
        <v>0</v>
      </c>
      <c r="E18" s="46"/>
      <c r="F18" s="46"/>
      <c r="G18" s="47">
        <f t="shared" si="1"/>
        <v>0</v>
      </c>
      <c r="H18" s="48">
        <v>850</v>
      </c>
      <c r="I18" s="35">
        <f t="shared" si="2"/>
        <v>0</v>
      </c>
      <c r="J18" s="46">
        <v>10</v>
      </c>
      <c r="K18" s="46">
        <v>50</v>
      </c>
    </row>
    <row r="19" spans="1:11" x14ac:dyDescent="0.3">
      <c r="A19" s="46" t="s">
        <v>114</v>
      </c>
      <c r="B19" s="46"/>
      <c r="C19" s="46">
        <v>2</v>
      </c>
      <c r="D19" s="47">
        <f t="shared" si="0"/>
        <v>2</v>
      </c>
      <c r="E19" s="46">
        <v>2</v>
      </c>
      <c r="F19" s="46"/>
      <c r="G19" s="47">
        <f t="shared" si="1"/>
        <v>0</v>
      </c>
      <c r="H19" s="48">
        <v>1300</v>
      </c>
      <c r="I19" s="35">
        <f t="shared" si="2"/>
        <v>0</v>
      </c>
      <c r="J19" s="46">
        <v>5</v>
      </c>
      <c r="K19" s="46">
        <v>20</v>
      </c>
    </row>
    <row r="20" spans="1:11" x14ac:dyDescent="0.3">
      <c r="A20" s="46"/>
      <c r="B20" s="46"/>
      <c r="C20" s="46"/>
      <c r="D20" s="47">
        <f t="shared" si="0"/>
        <v>0</v>
      </c>
      <c r="E20" s="46"/>
      <c r="F20" s="46"/>
      <c r="G20" s="47">
        <f t="shared" si="1"/>
        <v>0</v>
      </c>
      <c r="H20" s="48"/>
      <c r="I20" s="35">
        <f t="shared" si="2"/>
        <v>0</v>
      </c>
      <c r="J20" s="46">
        <v>30</v>
      </c>
      <c r="K20" s="46">
        <v>1000</v>
      </c>
    </row>
    <row r="21" spans="1:11" x14ac:dyDescent="0.3">
      <c r="A21" s="42" t="s">
        <v>7</v>
      </c>
      <c r="B21" s="46"/>
      <c r="C21" s="46"/>
      <c r="D21" s="47">
        <f t="shared" si="0"/>
        <v>0</v>
      </c>
      <c r="E21" s="46"/>
      <c r="F21" s="46"/>
      <c r="G21" s="47">
        <f t="shared" si="1"/>
        <v>0</v>
      </c>
      <c r="H21" s="48"/>
      <c r="I21" s="35">
        <f t="shared" si="2"/>
        <v>0</v>
      </c>
      <c r="J21" s="46"/>
      <c r="K21" s="46"/>
    </row>
    <row r="22" spans="1:11" x14ac:dyDescent="0.3">
      <c r="A22" s="46" t="s">
        <v>115</v>
      </c>
      <c r="B22" s="46">
        <v>20</v>
      </c>
      <c r="C22" s="46"/>
      <c r="D22" s="47">
        <f t="shared" si="0"/>
        <v>20</v>
      </c>
      <c r="E22" s="46">
        <v>20</v>
      </c>
      <c r="F22" s="46"/>
      <c r="G22" s="47">
        <f t="shared" si="1"/>
        <v>0</v>
      </c>
      <c r="H22" s="48">
        <v>25</v>
      </c>
      <c r="I22" s="35">
        <f t="shared" si="2"/>
        <v>0</v>
      </c>
      <c r="J22" s="46"/>
      <c r="K22" s="46"/>
    </row>
    <row r="23" spans="1:11" x14ac:dyDescent="0.3">
      <c r="A23" s="46" t="s">
        <v>116</v>
      </c>
      <c r="B23" s="46">
        <v>150</v>
      </c>
      <c r="C23" s="46"/>
      <c r="D23" s="47">
        <f>B23+C23</f>
        <v>150</v>
      </c>
      <c r="E23" s="46">
        <v>150</v>
      </c>
      <c r="F23" s="46"/>
      <c r="G23" s="47">
        <f>D23-E23-F23</f>
        <v>0</v>
      </c>
      <c r="H23" s="48">
        <v>50</v>
      </c>
      <c r="I23" s="35">
        <f t="shared" si="2"/>
        <v>0</v>
      </c>
      <c r="J23" s="46">
        <v>200</v>
      </c>
      <c r="K23" s="46">
        <v>2000</v>
      </c>
    </row>
    <row r="24" spans="1:11" x14ac:dyDescent="0.3">
      <c r="A24" s="46" t="s">
        <v>117</v>
      </c>
      <c r="B24" s="46">
        <v>250</v>
      </c>
      <c r="C24" s="46"/>
      <c r="D24" s="47">
        <f t="shared" si="0"/>
        <v>250</v>
      </c>
      <c r="E24" s="46">
        <v>200</v>
      </c>
      <c r="F24" s="46"/>
      <c r="G24" s="47">
        <f t="shared" si="1"/>
        <v>50</v>
      </c>
      <c r="H24" s="48">
        <v>70</v>
      </c>
      <c r="I24" s="35">
        <f>G24*H24</f>
        <v>3500</v>
      </c>
      <c r="J24" s="46">
        <f>K24/10</f>
        <v>200</v>
      </c>
      <c r="K24" s="46">
        <v>2000</v>
      </c>
    </row>
    <row r="25" spans="1:11" x14ac:dyDescent="0.3">
      <c r="A25" s="46" t="s">
        <v>118</v>
      </c>
      <c r="B25" s="46">
        <v>25</v>
      </c>
      <c r="C25" s="46"/>
      <c r="D25" s="47">
        <f t="shared" si="0"/>
        <v>25</v>
      </c>
      <c r="E25" s="46">
        <v>20</v>
      </c>
      <c r="F25" s="46"/>
      <c r="G25" s="47">
        <f t="shared" si="1"/>
        <v>5</v>
      </c>
      <c r="H25" s="48">
        <v>70</v>
      </c>
      <c r="I25" s="35">
        <f t="shared" si="2"/>
        <v>350</v>
      </c>
      <c r="J25" s="46">
        <f t="shared" ref="J25:J88" si="3">K25/10</f>
        <v>200</v>
      </c>
      <c r="K25" s="46">
        <v>2000</v>
      </c>
    </row>
    <row r="26" spans="1:11" x14ac:dyDescent="0.3">
      <c r="A26" s="46" t="s">
        <v>119</v>
      </c>
      <c r="B26" s="46">
        <v>25</v>
      </c>
      <c r="C26" s="46">
        <v>100</v>
      </c>
      <c r="D26" s="47">
        <f t="shared" si="0"/>
        <v>125</v>
      </c>
      <c r="E26" s="46">
        <v>85</v>
      </c>
      <c r="F26" s="46"/>
      <c r="G26" s="47">
        <f t="shared" si="1"/>
        <v>40</v>
      </c>
      <c r="H26" s="48">
        <v>100</v>
      </c>
      <c r="I26" s="35">
        <f t="shared" si="2"/>
        <v>4000</v>
      </c>
      <c r="J26" s="46">
        <f t="shared" si="3"/>
        <v>200</v>
      </c>
      <c r="K26" s="46">
        <v>2000</v>
      </c>
    </row>
    <row r="27" spans="1:11" x14ac:dyDescent="0.3">
      <c r="A27" s="46" t="s">
        <v>120</v>
      </c>
      <c r="B27" s="46">
        <v>50</v>
      </c>
      <c r="C27" s="46"/>
      <c r="D27" s="47">
        <v>105</v>
      </c>
      <c r="E27" s="46">
        <v>95</v>
      </c>
      <c r="F27" s="46"/>
      <c r="G27" s="47">
        <f t="shared" si="1"/>
        <v>10</v>
      </c>
      <c r="H27" s="48">
        <v>50</v>
      </c>
      <c r="I27" s="35">
        <f t="shared" si="2"/>
        <v>500</v>
      </c>
      <c r="J27" s="46">
        <f t="shared" si="3"/>
        <v>200</v>
      </c>
      <c r="K27" s="46">
        <v>2000</v>
      </c>
    </row>
    <row r="28" spans="1:11" x14ac:dyDescent="0.3">
      <c r="A28" s="46" t="s">
        <v>121</v>
      </c>
      <c r="B28" s="46">
        <v>90</v>
      </c>
      <c r="C28" s="46"/>
      <c r="D28" s="47">
        <f t="shared" si="0"/>
        <v>90</v>
      </c>
      <c r="E28" s="46">
        <v>90</v>
      </c>
      <c r="F28" s="46"/>
      <c r="G28" s="47">
        <f t="shared" si="1"/>
        <v>0</v>
      </c>
      <c r="H28" s="48">
        <v>60</v>
      </c>
      <c r="I28" s="35">
        <f t="shared" si="2"/>
        <v>0</v>
      </c>
      <c r="J28" s="46">
        <f t="shared" si="3"/>
        <v>250</v>
      </c>
      <c r="K28" s="46">
        <v>2500</v>
      </c>
    </row>
    <row r="29" spans="1:11" x14ac:dyDescent="0.3">
      <c r="A29" s="46"/>
      <c r="B29" s="46"/>
      <c r="C29" s="46"/>
      <c r="D29" s="47"/>
      <c r="E29" s="46"/>
      <c r="F29" s="46"/>
      <c r="G29" s="47"/>
      <c r="H29" s="48"/>
      <c r="I29" s="35"/>
      <c r="J29" s="46">
        <f t="shared" si="3"/>
        <v>20</v>
      </c>
      <c r="K29" s="46">
        <v>200</v>
      </c>
    </row>
    <row r="30" spans="1:11" x14ac:dyDescent="0.3">
      <c r="A30" s="42" t="s">
        <v>122</v>
      </c>
      <c r="B30" s="46"/>
      <c r="C30" s="46"/>
      <c r="D30" s="47">
        <f t="shared" si="0"/>
        <v>0</v>
      </c>
      <c r="E30" s="46"/>
      <c r="F30" s="46"/>
      <c r="G30" s="47">
        <f t="shared" si="1"/>
        <v>0</v>
      </c>
      <c r="H30" s="48"/>
      <c r="I30" s="35">
        <f t="shared" si="2"/>
        <v>0</v>
      </c>
      <c r="J30" s="46"/>
      <c r="K30" s="46"/>
    </row>
    <row r="31" spans="1:11" x14ac:dyDescent="0.3">
      <c r="A31" s="46" t="s">
        <v>123</v>
      </c>
      <c r="B31" s="46"/>
      <c r="C31" s="46"/>
      <c r="D31" s="47">
        <f t="shared" si="0"/>
        <v>0</v>
      </c>
      <c r="E31" s="46"/>
      <c r="F31" s="46"/>
      <c r="G31" s="47">
        <f t="shared" si="1"/>
        <v>0</v>
      </c>
      <c r="H31" s="48">
        <v>6200</v>
      </c>
      <c r="I31" s="35">
        <f t="shared" si="2"/>
        <v>0</v>
      </c>
      <c r="J31" s="46">
        <f t="shared" si="3"/>
        <v>0</v>
      </c>
      <c r="K31" s="46"/>
    </row>
    <row r="32" spans="1:11" x14ac:dyDescent="0.3">
      <c r="A32" s="46" t="s">
        <v>124</v>
      </c>
      <c r="B32" s="46">
        <v>5000</v>
      </c>
      <c r="C32" s="46"/>
      <c r="D32" s="47">
        <f t="shared" si="0"/>
        <v>5000</v>
      </c>
      <c r="E32" s="46">
        <v>4500</v>
      </c>
      <c r="F32" s="46"/>
      <c r="G32" s="47">
        <f t="shared" si="1"/>
        <v>500</v>
      </c>
      <c r="H32" s="48">
        <v>20</v>
      </c>
      <c r="I32" s="35">
        <f t="shared" si="2"/>
        <v>10000</v>
      </c>
      <c r="J32" s="46">
        <f t="shared" si="3"/>
        <v>10</v>
      </c>
      <c r="K32" s="46">
        <v>100</v>
      </c>
    </row>
    <row r="33" spans="1:11" x14ac:dyDescent="0.3">
      <c r="A33" s="46" t="s">
        <v>125</v>
      </c>
      <c r="B33" s="46"/>
      <c r="C33" s="46"/>
      <c r="D33" s="47">
        <f t="shared" si="0"/>
        <v>0</v>
      </c>
      <c r="E33" s="46"/>
      <c r="F33" s="46"/>
      <c r="G33" s="47">
        <f t="shared" si="1"/>
        <v>0</v>
      </c>
      <c r="H33" s="48">
        <v>30</v>
      </c>
      <c r="I33" s="35">
        <f t="shared" si="2"/>
        <v>0</v>
      </c>
      <c r="J33" s="46">
        <f t="shared" si="3"/>
        <v>500</v>
      </c>
      <c r="K33" s="46">
        <v>5000</v>
      </c>
    </row>
    <row r="34" spans="1:11" x14ac:dyDescent="0.3">
      <c r="A34" s="46"/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/>
      <c r="I34" s="35">
        <f t="shared" si="2"/>
        <v>0</v>
      </c>
      <c r="J34" s="46">
        <f t="shared" si="3"/>
        <v>200</v>
      </c>
      <c r="K34" s="46">
        <v>2000</v>
      </c>
    </row>
    <row r="35" spans="1:11" x14ac:dyDescent="0.3">
      <c r="A35" s="42" t="s">
        <v>126</v>
      </c>
      <c r="B35" s="46"/>
      <c r="C35" s="46"/>
      <c r="D35" s="47">
        <f t="shared" si="0"/>
        <v>0</v>
      </c>
      <c r="E35" s="46"/>
      <c r="F35" s="46"/>
      <c r="G35" s="47">
        <f t="shared" si="1"/>
        <v>0</v>
      </c>
      <c r="H35" s="48"/>
      <c r="I35" s="35">
        <f t="shared" si="2"/>
        <v>0</v>
      </c>
      <c r="J35" s="46">
        <f t="shared" si="3"/>
        <v>0</v>
      </c>
      <c r="K35" s="46"/>
    </row>
    <row r="36" spans="1:11" x14ac:dyDescent="0.3">
      <c r="A36" s="46" t="s">
        <v>127</v>
      </c>
      <c r="B36" s="46">
        <v>1500</v>
      </c>
      <c r="C36" s="46">
        <v>1000</v>
      </c>
      <c r="D36" s="47">
        <f t="shared" si="0"/>
        <v>2500</v>
      </c>
      <c r="E36" s="46">
        <v>2000</v>
      </c>
      <c r="F36" s="46"/>
      <c r="G36" s="47">
        <f t="shared" si="1"/>
        <v>500</v>
      </c>
      <c r="H36" s="48">
        <v>6</v>
      </c>
      <c r="I36" s="35">
        <f t="shared" si="2"/>
        <v>3000</v>
      </c>
      <c r="J36" s="46">
        <f t="shared" si="3"/>
        <v>0</v>
      </c>
      <c r="K36" s="46"/>
    </row>
    <row r="37" spans="1:11" x14ac:dyDescent="0.3">
      <c r="A37" s="46" t="s">
        <v>128</v>
      </c>
      <c r="B37" s="46">
        <v>1500</v>
      </c>
      <c r="C37" s="46">
        <v>1000</v>
      </c>
      <c r="D37" s="47">
        <f t="shared" si="0"/>
        <v>2500</v>
      </c>
      <c r="E37" s="46">
        <v>2000</v>
      </c>
      <c r="F37" s="46"/>
      <c r="G37" s="47">
        <f t="shared" si="1"/>
        <v>500</v>
      </c>
      <c r="H37" s="48">
        <v>6</v>
      </c>
      <c r="I37" s="35">
        <f t="shared" si="2"/>
        <v>3000</v>
      </c>
      <c r="J37" s="46">
        <f t="shared" si="3"/>
        <v>1000</v>
      </c>
      <c r="K37" s="46">
        <v>10000</v>
      </c>
    </row>
    <row r="38" spans="1:11" x14ac:dyDescent="0.3">
      <c r="A38" s="46" t="s">
        <v>129</v>
      </c>
      <c r="B38" s="46">
        <v>3000</v>
      </c>
      <c r="C38" s="46"/>
      <c r="D38" s="47">
        <f t="shared" si="0"/>
        <v>3000</v>
      </c>
      <c r="E38" s="46">
        <v>2000</v>
      </c>
      <c r="F38" s="46"/>
      <c r="G38" s="47">
        <f t="shared" si="1"/>
        <v>1000</v>
      </c>
      <c r="H38" s="48">
        <v>10</v>
      </c>
      <c r="I38" s="35">
        <f t="shared" si="2"/>
        <v>10000</v>
      </c>
      <c r="J38" s="46">
        <f t="shared" si="3"/>
        <v>1000</v>
      </c>
      <c r="K38" s="46">
        <v>10000</v>
      </c>
    </row>
    <row r="39" spans="1:11" x14ac:dyDescent="0.3">
      <c r="A39" s="46" t="s">
        <v>130</v>
      </c>
      <c r="B39" s="46"/>
      <c r="C39" s="46"/>
      <c r="D39" s="47">
        <f t="shared" si="0"/>
        <v>0</v>
      </c>
      <c r="E39" s="46"/>
      <c r="F39" s="46"/>
      <c r="G39" s="47">
        <f t="shared" si="1"/>
        <v>0</v>
      </c>
      <c r="H39" s="48">
        <v>30</v>
      </c>
      <c r="I39" s="35">
        <f t="shared" si="2"/>
        <v>0</v>
      </c>
      <c r="J39" s="46">
        <f t="shared" si="3"/>
        <v>1000</v>
      </c>
      <c r="K39" s="46">
        <v>10000</v>
      </c>
    </row>
    <row r="40" spans="1:11" x14ac:dyDescent="0.3">
      <c r="A40" s="46" t="s">
        <v>131</v>
      </c>
      <c r="B40" s="46">
        <v>20</v>
      </c>
      <c r="C40" s="46"/>
      <c r="D40" s="47">
        <f t="shared" si="0"/>
        <v>20</v>
      </c>
      <c r="E40" s="46"/>
      <c r="F40" s="46"/>
      <c r="G40" s="47">
        <f t="shared" si="1"/>
        <v>20</v>
      </c>
      <c r="H40" s="48">
        <v>50</v>
      </c>
      <c r="I40" s="35">
        <f t="shared" si="2"/>
        <v>1000</v>
      </c>
      <c r="J40" s="46">
        <f t="shared" si="3"/>
        <v>1000</v>
      </c>
      <c r="K40" s="46">
        <v>10000</v>
      </c>
    </row>
    <row r="41" spans="1:11" x14ac:dyDescent="0.3">
      <c r="A41" s="46" t="s">
        <v>132</v>
      </c>
      <c r="B41" s="46">
        <v>10</v>
      </c>
      <c r="C41" s="46">
        <v>10</v>
      </c>
      <c r="D41" s="47">
        <f t="shared" si="0"/>
        <v>20</v>
      </c>
      <c r="E41" s="46">
        <v>10</v>
      </c>
      <c r="F41" s="46"/>
      <c r="G41" s="47">
        <f t="shared" si="1"/>
        <v>10</v>
      </c>
      <c r="H41" s="49">
        <v>700</v>
      </c>
      <c r="I41" s="35">
        <f t="shared" si="2"/>
        <v>7000</v>
      </c>
      <c r="J41" s="46">
        <f t="shared" si="3"/>
        <v>1000</v>
      </c>
      <c r="K41" s="46">
        <v>10000</v>
      </c>
    </row>
    <row r="42" spans="1:11" x14ac:dyDescent="0.3">
      <c r="A42" s="46" t="s">
        <v>133</v>
      </c>
      <c r="B42" s="46">
        <v>6</v>
      </c>
      <c r="C42" s="46">
        <v>10</v>
      </c>
      <c r="D42" s="47">
        <f t="shared" si="0"/>
        <v>16</v>
      </c>
      <c r="E42" s="46">
        <v>10</v>
      </c>
      <c r="F42" s="46"/>
      <c r="G42" s="47">
        <f t="shared" si="1"/>
        <v>6</v>
      </c>
      <c r="H42" s="48">
        <v>820</v>
      </c>
      <c r="I42" s="35">
        <f t="shared" si="2"/>
        <v>4920</v>
      </c>
      <c r="J42" s="46">
        <f t="shared" si="3"/>
        <v>15</v>
      </c>
      <c r="K42" s="46">
        <v>150</v>
      </c>
    </row>
    <row r="43" spans="1:11" x14ac:dyDescent="0.3">
      <c r="A43" s="46" t="s">
        <v>134</v>
      </c>
      <c r="B43" s="46">
        <v>15</v>
      </c>
      <c r="C43" s="46">
        <v>50</v>
      </c>
      <c r="D43" s="47">
        <f t="shared" si="0"/>
        <v>65</v>
      </c>
      <c r="E43" s="46">
        <v>40</v>
      </c>
      <c r="F43" s="46"/>
      <c r="G43" s="47">
        <f t="shared" si="1"/>
        <v>25</v>
      </c>
      <c r="H43" s="49">
        <v>900</v>
      </c>
      <c r="I43" s="35">
        <f t="shared" si="2"/>
        <v>22500</v>
      </c>
      <c r="J43" s="46">
        <f t="shared" si="3"/>
        <v>10</v>
      </c>
      <c r="K43" s="46">
        <v>100</v>
      </c>
    </row>
    <row r="44" spans="1:11" x14ac:dyDescent="0.3">
      <c r="A44" s="46" t="s">
        <v>135</v>
      </c>
      <c r="B44" s="46"/>
      <c r="C44" s="46">
        <v>1000</v>
      </c>
      <c r="D44" s="47">
        <f t="shared" si="0"/>
        <v>1000</v>
      </c>
      <c r="E44" s="46">
        <v>800</v>
      </c>
      <c r="F44" s="46"/>
      <c r="G44" s="47">
        <f t="shared" si="1"/>
        <v>200</v>
      </c>
      <c r="H44" s="48">
        <v>2.5</v>
      </c>
      <c r="I44" s="35">
        <f t="shared" si="2"/>
        <v>500</v>
      </c>
      <c r="J44" s="46">
        <f t="shared" si="3"/>
        <v>30</v>
      </c>
      <c r="K44" s="46">
        <v>300</v>
      </c>
    </row>
    <row r="45" spans="1:11" x14ac:dyDescent="0.3">
      <c r="A45" s="46" t="s">
        <v>136</v>
      </c>
      <c r="B45" s="46">
        <v>5</v>
      </c>
      <c r="C45" s="46">
        <v>10</v>
      </c>
      <c r="D45" s="47">
        <f t="shared" si="0"/>
        <v>15</v>
      </c>
      <c r="E45" s="46">
        <v>10</v>
      </c>
      <c r="F45" s="46"/>
      <c r="G45" s="47">
        <f t="shared" si="1"/>
        <v>5</v>
      </c>
      <c r="H45" s="48">
        <v>800</v>
      </c>
      <c r="I45" s="35">
        <f t="shared" si="2"/>
        <v>4000</v>
      </c>
      <c r="J45" s="46">
        <f t="shared" si="3"/>
        <v>1000</v>
      </c>
      <c r="K45" s="46">
        <v>10000</v>
      </c>
    </row>
    <row r="46" spans="1:11" x14ac:dyDescent="0.3">
      <c r="A46" s="46" t="s">
        <v>137</v>
      </c>
      <c r="B46" s="46">
        <v>8</v>
      </c>
      <c r="C46" s="46">
        <v>10</v>
      </c>
      <c r="D46" s="47">
        <f t="shared" si="0"/>
        <v>18</v>
      </c>
      <c r="E46" s="46">
        <v>15</v>
      </c>
      <c r="F46" s="46"/>
      <c r="G46" s="47">
        <f t="shared" si="1"/>
        <v>3</v>
      </c>
      <c r="H46" s="48">
        <v>600</v>
      </c>
      <c r="I46" s="35">
        <f t="shared" si="2"/>
        <v>1800</v>
      </c>
      <c r="J46" s="46">
        <f t="shared" si="3"/>
        <v>10</v>
      </c>
      <c r="K46" s="46">
        <v>100</v>
      </c>
    </row>
    <row r="47" spans="1:11" x14ac:dyDescent="0.3">
      <c r="A47" s="46" t="s">
        <v>138</v>
      </c>
      <c r="B47" s="46">
        <v>10</v>
      </c>
      <c r="C47" s="46">
        <v>10</v>
      </c>
      <c r="D47" s="47">
        <f t="shared" si="0"/>
        <v>20</v>
      </c>
      <c r="E47" s="46">
        <v>10</v>
      </c>
      <c r="F47" s="46"/>
      <c r="G47" s="47">
        <f t="shared" si="1"/>
        <v>10</v>
      </c>
      <c r="H47" s="48">
        <v>900</v>
      </c>
      <c r="I47" s="35">
        <f t="shared" si="2"/>
        <v>9000</v>
      </c>
      <c r="J47" s="46">
        <f t="shared" si="3"/>
        <v>50</v>
      </c>
      <c r="K47" s="46">
        <v>500</v>
      </c>
    </row>
    <row r="48" spans="1:11" x14ac:dyDescent="0.3">
      <c r="A48" s="46" t="s">
        <v>139</v>
      </c>
      <c r="B48" s="46">
        <v>1</v>
      </c>
      <c r="C48" s="46">
        <v>10</v>
      </c>
      <c r="D48" s="47">
        <f t="shared" si="0"/>
        <v>11</v>
      </c>
      <c r="E48" s="46">
        <v>7</v>
      </c>
      <c r="F48" s="46"/>
      <c r="G48" s="47">
        <f t="shared" si="1"/>
        <v>4</v>
      </c>
      <c r="H48" s="48">
        <v>1700</v>
      </c>
      <c r="I48" s="35">
        <f t="shared" si="2"/>
        <v>6800</v>
      </c>
      <c r="J48" s="46">
        <f t="shared" si="3"/>
        <v>10</v>
      </c>
      <c r="K48" s="46">
        <v>100</v>
      </c>
    </row>
    <row r="49" spans="1:11" x14ac:dyDescent="0.3">
      <c r="A49" s="46" t="s">
        <v>140</v>
      </c>
      <c r="B49" s="46"/>
      <c r="C49" s="46"/>
      <c r="D49" s="47">
        <f t="shared" si="0"/>
        <v>0</v>
      </c>
      <c r="E49" s="46"/>
      <c r="F49" s="46"/>
      <c r="G49" s="47">
        <f t="shared" si="1"/>
        <v>0</v>
      </c>
      <c r="H49" s="48">
        <v>2000</v>
      </c>
      <c r="I49" s="35">
        <f t="shared" si="2"/>
        <v>0</v>
      </c>
      <c r="J49" s="46">
        <f t="shared" si="3"/>
        <v>2</v>
      </c>
      <c r="K49" s="46">
        <v>20</v>
      </c>
    </row>
    <row r="50" spans="1:11" x14ac:dyDescent="0.3">
      <c r="A50" s="46" t="s">
        <v>141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400</v>
      </c>
      <c r="I50" s="35">
        <f t="shared" si="2"/>
        <v>0</v>
      </c>
      <c r="J50" s="46">
        <f t="shared" si="3"/>
        <v>2</v>
      </c>
      <c r="K50" s="46">
        <v>20</v>
      </c>
    </row>
    <row r="51" spans="1:11" x14ac:dyDescent="0.3">
      <c r="A51" s="46" t="s">
        <v>142</v>
      </c>
      <c r="B51" s="46"/>
      <c r="C51" s="46"/>
      <c r="D51" s="47">
        <f t="shared" si="0"/>
        <v>0</v>
      </c>
      <c r="E51" s="46"/>
      <c r="F51" s="46"/>
      <c r="G51" s="47">
        <f t="shared" si="1"/>
        <v>0</v>
      </c>
      <c r="H51" s="48">
        <v>3000</v>
      </c>
      <c r="I51" s="35">
        <f t="shared" si="2"/>
        <v>0</v>
      </c>
      <c r="J51" s="46">
        <f t="shared" si="3"/>
        <v>2</v>
      </c>
      <c r="K51" s="46">
        <v>20</v>
      </c>
    </row>
    <row r="52" spans="1:11" x14ac:dyDescent="0.3">
      <c r="A52" s="46" t="s">
        <v>143</v>
      </c>
      <c r="B52" s="46">
        <v>15</v>
      </c>
      <c r="C52" s="46"/>
      <c r="D52" s="47">
        <f t="shared" si="0"/>
        <v>15</v>
      </c>
      <c r="E52" s="46">
        <v>10</v>
      </c>
      <c r="F52" s="46"/>
      <c r="G52" s="47">
        <f t="shared" si="1"/>
        <v>5</v>
      </c>
      <c r="H52" s="48">
        <v>950</v>
      </c>
      <c r="I52" s="35">
        <f t="shared" si="2"/>
        <v>4750</v>
      </c>
      <c r="J52" s="46">
        <f t="shared" si="3"/>
        <v>2</v>
      </c>
      <c r="K52" s="46">
        <v>20</v>
      </c>
    </row>
    <row r="53" spans="1:11" x14ac:dyDescent="0.3">
      <c r="A53" s="46" t="s">
        <v>144</v>
      </c>
      <c r="B53" s="46">
        <v>10</v>
      </c>
      <c r="C53" s="46">
        <v>20</v>
      </c>
      <c r="D53" s="47">
        <f t="shared" si="0"/>
        <v>30</v>
      </c>
      <c r="E53" s="46">
        <v>20</v>
      </c>
      <c r="F53" s="46"/>
      <c r="G53" s="47">
        <f t="shared" si="1"/>
        <v>10</v>
      </c>
      <c r="H53" s="48">
        <v>400</v>
      </c>
      <c r="I53" s="35">
        <f t="shared" si="2"/>
        <v>4000</v>
      </c>
      <c r="J53" s="46">
        <f t="shared" si="3"/>
        <v>2</v>
      </c>
      <c r="K53" s="46">
        <v>20</v>
      </c>
    </row>
    <row r="54" spans="1:11" x14ac:dyDescent="0.3">
      <c r="A54" s="46" t="s">
        <v>145</v>
      </c>
      <c r="B54" s="46">
        <v>250</v>
      </c>
      <c r="C54" s="46">
        <v>1000</v>
      </c>
      <c r="D54" s="47">
        <f t="shared" si="0"/>
        <v>1250</v>
      </c>
      <c r="E54" s="46">
        <v>1000</v>
      </c>
      <c r="F54" s="46"/>
      <c r="G54" s="47">
        <f t="shared" si="1"/>
        <v>250</v>
      </c>
      <c r="H54" s="48">
        <v>10</v>
      </c>
      <c r="I54" s="35">
        <f t="shared" si="2"/>
        <v>2500</v>
      </c>
      <c r="J54" s="46">
        <f t="shared" si="3"/>
        <v>5</v>
      </c>
      <c r="K54" s="46">
        <v>50</v>
      </c>
    </row>
    <row r="55" spans="1:11" x14ac:dyDescent="0.3">
      <c r="A55" s="46" t="s">
        <v>146</v>
      </c>
      <c r="B55" s="46">
        <v>100</v>
      </c>
      <c r="C55" s="46"/>
      <c r="D55" s="47">
        <f t="shared" si="0"/>
        <v>100</v>
      </c>
      <c r="E55" s="46">
        <v>50</v>
      </c>
      <c r="F55" s="46"/>
      <c r="G55" s="47">
        <f t="shared" si="1"/>
        <v>50</v>
      </c>
      <c r="H55" s="48">
        <v>10</v>
      </c>
      <c r="I55" s="35">
        <f t="shared" si="2"/>
        <v>500</v>
      </c>
      <c r="J55" s="46">
        <f t="shared" si="3"/>
        <v>1000</v>
      </c>
      <c r="K55" s="46">
        <v>10000</v>
      </c>
    </row>
    <row r="56" spans="1:11" x14ac:dyDescent="0.3">
      <c r="A56" s="46" t="s">
        <v>147</v>
      </c>
      <c r="B56" s="46">
        <v>3</v>
      </c>
      <c r="C56" s="46">
        <v>10</v>
      </c>
      <c r="D56" s="47">
        <f t="shared" si="0"/>
        <v>13</v>
      </c>
      <c r="E56" s="46">
        <v>10</v>
      </c>
      <c r="F56" s="46"/>
      <c r="G56" s="47">
        <f t="shared" si="1"/>
        <v>3</v>
      </c>
      <c r="H56" s="48">
        <v>300</v>
      </c>
      <c r="I56" s="35">
        <f t="shared" si="2"/>
        <v>900</v>
      </c>
      <c r="J56" s="46">
        <f t="shared" si="3"/>
        <v>100</v>
      </c>
      <c r="K56" s="46">
        <v>1000</v>
      </c>
    </row>
    <row r="57" spans="1:11" x14ac:dyDescent="0.3">
      <c r="A57" s="46" t="s">
        <v>148</v>
      </c>
      <c r="B57" s="46">
        <v>3</v>
      </c>
      <c r="C57" s="46"/>
      <c r="D57" s="47">
        <f t="shared" si="0"/>
        <v>3</v>
      </c>
      <c r="E57" s="46">
        <v>3</v>
      </c>
      <c r="F57" s="46"/>
      <c r="G57" s="47">
        <f t="shared" si="1"/>
        <v>0</v>
      </c>
      <c r="H57" s="48">
        <v>1100</v>
      </c>
      <c r="I57" s="35">
        <f t="shared" si="2"/>
        <v>0</v>
      </c>
      <c r="J57" s="46">
        <f t="shared" si="3"/>
        <v>10</v>
      </c>
      <c r="K57" s="46">
        <v>100</v>
      </c>
    </row>
    <row r="58" spans="1:11" x14ac:dyDescent="0.3">
      <c r="A58" s="46" t="s">
        <v>149</v>
      </c>
      <c r="B58" s="46"/>
      <c r="C58" s="46"/>
      <c r="D58" s="47">
        <f t="shared" si="0"/>
        <v>0</v>
      </c>
      <c r="E58" s="46"/>
      <c r="F58" s="46"/>
      <c r="G58" s="47">
        <f t="shared" si="1"/>
        <v>0</v>
      </c>
      <c r="H58" s="48">
        <v>800</v>
      </c>
      <c r="I58" s="35">
        <f t="shared" si="2"/>
        <v>0</v>
      </c>
      <c r="J58" s="46">
        <f t="shared" si="3"/>
        <v>1</v>
      </c>
      <c r="K58" s="46">
        <v>10</v>
      </c>
    </row>
    <row r="59" spans="1:11" x14ac:dyDescent="0.3">
      <c r="A59" s="46" t="s">
        <v>150</v>
      </c>
      <c r="B59" s="46">
        <v>2</v>
      </c>
      <c r="C59" s="46"/>
      <c r="D59" s="47">
        <f t="shared" si="0"/>
        <v>2</v>
      </c>
      <c r="E59" s="46">
        <v>1</v>
      </c>
      <c r="F59" s="46"/>
      <c r="G59" s="47">
        <f t="shared" si="1"/>
        <v>1</v>
      </c>
      <c r="H59" s="48">
        <v>1000</v>
      </c>
      <c r="I59" s="35">
        <f t="shared" si="2"/>
        <v>1000</v>
      </c>
      <c r="J59" s="46">
        <f t="shared" si="3"/>
        <v>1</v>
      </c>
      <c r="K59" s="46">
        <v>10</v>
      </c>
    </row>
    <row r="60" spans="1:11" x14ac:dyDescent="0.3">
      <c r="A60" s="46" t="s">
        <v>151</v>
      </c>
      <c r="B60" s="46"/>
      <c r="C60" s="46"/>
      <c r="D60" s="47">
        <f t="shared" si="0"/>
        <v>0</v>
      </c>
      <c r="E60" s="46"/>
      <c r="F60" s="46"/>
      <c r="G60" s="47">
        <f t="shared" si="1"/>
        <v>0</v>
      </c>
      <c r="H60" s="48">
        <v>1000</v>
      </c>
      <c r="I60" s="35">
        <f t="shared" si="2"/>
        <v>0</v>
      </c>
      <c r="J60" s="46">
        <f t="shared" si="3"/>
        <v>1</v>
      </c>
      <c r="K60" s="46">
        <v>10</v>
      </c>
    </row>
    <row r="61" spans="1:11" x14ac:dyDescent="0.3">
      <c r="A61" s="46" t="s">
        <v>152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1300</v>
      </c>
      <c r="I61" s="35">
        <f t="shared" si="2"/>
        <v>0</v>
      </c>
      <c r="J61" s="46">
        <f t="shared" si="3"/>
        <v>1</v>
      </c>
      <c r="K61" s="46">
        <v>10</v>
      </c>
    </row>
    <row r="62" spans="1:11" x14ac:dyDescent="0.3">
      <c r="A62" s="46" t="s">
        <v>153</v>
      </c>
      <c r="B62" s="46"/>
      <c r="C62" s="46"/>
      <c r="D62" s="47">
        <f t="shared" si="0"/>
        <v>0</v>
      </c>
      <c r="E62" s="46"/>
      <c r="F62" s="46"/>
      <c r="G62" s="47">
        <f t="shared" si="1"/>
        <v>0</v>
      </c>
      <c r="H62" s="48">
        <v>1100</v>
      </c>
      <c r="I62" s="35">
        <f t="shared" si="2"/>
        <v>0</v>
      </c>
      <c r="J62" s="46">
        <f t="shared" si="3"/>
        <v>1</v>
      </c>
      <c r="K62" s="46">
        <v>10</v>
      </c>
    </row>
    <row r="63" spans="1:11" x14ac:dyDescent="0.3">
      <c r="A63" s="46" t="s">
        <v>154</v>
      </c>
      <c r="B63" s="46"/>
      <c r="C63" s="46"/>
      <c r="D63" s="47">
        <f t="shared" si="0"/>
        <v>0</v>
      </c>
      <c r="E63" s="46"/>
      <c r="F63" s="46"/>
      <c r="G63" s="47">
        <f t="shared" si="1"/>
        <v>0</v>
      </c>
      <c r="H63" s="48"/>
      <c r="I63" s="35">
        <f t="shared" si="2"/>
        <v>0</v>
      </c>
      <c r="J63" s="46">
        <f t="shared" si="3"/>
        <v>3</v>
      </c>
      <c r="K63" s="46">
        <v>30</v>
      </c>
    </row>
    <row r="64" spans="1:11" x14ac:dyDescent="0.3">
      <c r="A64" s="46" t="s">
        <v>155</v>
      </c>
      <c r="B64" s="46">
        <v>10</v>
      </c>
      <c r="C64" s="46"/>
      <c r="D64" s="47">
        <f t="shared" si="0"/>
        <v>10</v>
      </c>
      <c r="E64" s="46">
        <v>10</v>
      </c>
      <c r="F64" s="46"/>
      <c r="G64" s="47">
        <f t="shared" si="1"/>
        <v>0</v>
      </c>
      <c r="H64" s="48">
        <v>500</v>
      </c>
      <c r="I64" s="35">
        <f t="shared" si="2"/>
        <v>0</v>
      </c>
      <c r="J64" s="46">
        <f t="shared" si="3"/>
        <v>1</v>
      </c>
      <c r="K64" s="46">
        <v>10</v>
      </c>
    </row>
    <row r="65" spans="1:11" x14ac:dyDescent="0.3">
      <c r="A65" s="46" t="s">
        <v>156</v>
      </c>
      <c r="B65" s="46">
        <v>3</v>
      </c>
      <c r="C65" s="46"/>
      <c r="D65" s="47">
        <f t="shared" si="0"/>
        <v>3</v>
      </c>
      <c r="E65" s="46">
        <v>3</v>
      </c>
      <c r="F65" s="46"/>
      <c r="G65" s="47">
        <f t="shared" si="1"/>
        <v>0</v>
      </c>
      <c r="H65" s="49">
        <v>800</v>
      </c>
      <c r="I65" s="35">
        <f t="shared" si="2"/>
        <v>0</v>
      </c>
      <c r="J65" s="46">
        <f t="shared" si="3"/>
        <v>10</v>
      </c>
      <c r="K65" s="46">
        <v>100</v>
      </c>
    </row>
    <row r="66" spans="1:11" x14ac:dyDescent="0.3">
      <c r="A66" s="46" t="s">
        <v>157</v>
      </c>
      <c r="B66" s="46"/>
      <c r="C66" s="46"/>
      <c r="D66" s="47">
        <f t="shared" si="0"/>
        <v>0</v>
      </c>
      <c r="E66" s="46"/>
      <c r="F66" s="46"/>
      <c r="G66" s="47">
        <f t="shared" si="1"/>
        <v>0</v>
      </c>
      <c r="H66" s="48">
        <v>200</v>
      </c>
      <c r="I66" s="35">
        <f t="shared" si="2"/>
        <v>0</v>
      </c>
      <c r="J66" s="46">
        <f t="shared" si="3"/>
        <v>2</v>
      </c>
      <c r="K66" s="46">
        <v>20</v>
      </c>
    </row>
    <row r="67" spans="1:11" x14ac:dyDescent="0.3">
      <c r="A67" s="46" t="s">
        <v>158</v>
      </c>
      <c r="B67" s="46"/>
      <c r="C67" s="46"/>
      <c r="D67" s="47">
        <f t="shared" si="0"/>
        <v>0</v>
      </c>
      <c r="E67" s="46"/>
      <c r="F67" s="46"/>
      <c r="G67" s="47">
        <f t="shared" si="1"/>
        <v>0</v>
      </c>
      <c r="H67" s="48">
        <v>850</v>
      </c>
      <c r="I67" s="35">
        <f t="shared" si="2"/>
        <v>0</v>
      </c>
      <c r="J67" s="46">
        <f t="shared" si="3"/>
        <v>2</v>
      </c>
      <c r="K67" s="46">
        <v>20</v>
      </c>
    </row>
    <row r="68" spans="1:11" x14ac:dyDescent="0.3">
      <c r="A68" s="46" t="s">
        <v>159</v>
      </c>
      <c r="B68" s="46"/>
      <c r="C68" s="46"/>
      <c r="D68" s="47">
        <f t="shared" si="0"/>
        <v>0</v>
      </c>
      <c r="E68" s="46"/>
      <c r="F68" s="46"/>
      <c r="G68" s="47">
        <f t="shared" si="1"/>
        <v>0</v>
      </c>
      <c r="H68" s="48">
        <v>750</v>
      </c>
      <c r="I68" s="35">
        <f t="shared" si="2"/>
        <v>0</v>
      </c>
      <c r="J68" s="46">
        <f t="shared" si="3"/>
        <v>10</v>
      </c>
      <c r="K68" s="46">
        <v>100</v>
      </c>
    </row>
    <row r="69" spans="1:11" x14ac:dyDescent="0.3">
      <c r="A69" s="46" t="s">
        <v>160</v>
      </c>
      <c r="B69" s="46"/>
      <c r="C69" s="46"/>
      <c r="D69" s="47">
        <f t="shared" si="0"/>
        <v>0</v>
      </c>
      <c r="E69" s="46"/>
      <c r="F69" s="46"/>
      <c r="G69" s="47">
        <f t="shared" si="1"/>
        <v>0</v>
      </c>
      <c r="H69" s="48">
        <v>290</v>
      </c>
      <c r="I69" s="35">
        <f t="shared" si="2"/>
        <v>0</v>
      </c>
      <c r="J69" s="46">
        <f t="shared" si="3"/>
        <v>2</v>
      </c>
      <c r="K69" s="46">
        <v>20</v>
      </c>
    </row>
    <row r="70" spans="1:11" x14ac:dyDescent="0.3">
      <c r="A70" s="46" t="s">
        <v>161</v>
      </c>
      <c r="B70" s="46"/>
      <c r="C70" s="46"/>
      <c r="D70" s="47">
        <f t="shared" si="0"/>
        <v>0</v>
      </c>
      <c r="E70" s="46"/>
      <c r="F70" s="46"/>
      <c r="G70" s="47">
        <f t="shared" si="1"/>
        <v>0</v>
      </c>
      <c r="H70" s="48">
        <v>600</v>
      </c>
      <c r="I70" s="35">
        <f t="shared" si="2"/>
        <v>0</v>
      </c>
      <c r="J70" s="46">
        <f t="shared" si="3"/>
        <v>5</v>
      </c>
      <c r="K70" s="46">
        <v>50</v>
      </c>
    </row>
    <row r="71" spans="1:11" x14ac:dyDescent="0.3">
      <c r="A71" s="46" t="s">
        <v>162</v>
      </c>
      <c r="B71" s="46"/>
      <c r="C71" s="46"/>
      <c r="D71" s="47">
        <f t="shared" si="0"/>
        <v>0</v>
      </c>
      <c r="E71" s="46"/>
      <c r="F71" s="46"/>
      <c r="G71" s="47">
        <f t="shared" si="1"/>
        <v>0</v>
      </c>
      <c r="H71" s="48">
        <v>1300</v>
      </c>
      <c r="I71" s="35">
        <f t="shared" si="2"/>
        <v>0</v>
      </c>
      <c r="J71" s="46">
        <f t="shared" si="3"/>
        <v>2</v>
      </c>
      <c r="K71" s="46">
        <v>20</v>
      </c>
    </row>
    <row r="72" spans="1:11" x14ac:dyDescent="0.3">
      <c r="A72" s="46" t="s">
        <v>163</v>
      </c>
      <c r="B72" s="46"/>
      <c r="C72" s="46">
        <v>12</v>
      </c>
      <c r="D72" s="47">
        <f t="shared" si="0"/>
        <v>12</v>
      </c>
      <c r="E72" s="46">
        <v>10</v>
      </c>
      <c r="F72" s="46"/>
      <c r="G72" s="47">
        <f t="shared" si="1"/>
        <v>2</v>
      </c>
      <c r="H72" s="48">
        <v>580</v>
      </c>
      <c r="I72" s="35">
        <f t="shared" si="2"/>
        <v>1160</v>
      </c>
      <c r="J72" s="46">
        <f t="shared" si="3"/>
        <v>2</v>
      </c>
      <c r="K72" s="46">
        <v>20</v>
      </c>
    </row>
    <row r="73" spans="1:11" x14ac:dyDescent="0.3">
      <c r="A73" s="46" t="s">
        <v>164</v>
      </c>
      <c r="B73" s="46">
        <v>2</v>
      </c>
      <c r="C73" s="46">
        <v>10</v>
      </c>
      <c r="D73" s="47">
        <f t="shared" si="0"/>
        <v>12</v>
      </c>
      <c r="E73" s="46">
        <v>10</v>
      </c>
      <c r="F73" s="46"/>
      <c r="G73" s="47">
        <f t="shared" si="1"/>
        <v>2</v>
      </c>
      <c r="H73" s="48">
        <v>2300</v>
      </c>
      <c r="I73" s="35">
        <f t="shared" si="2"/>
        <v>4600</v>
      </c>
      <c r="J73" s="46">
        <f t="shared" si="3"/>
        <v>3</v>
      </c>
      <c r="K73" s="46">
        <v>30</v>
      </c>
    </row>
    <row r="74" spans="1:11" x14ac:dyDescent="0.3">
      <c r="A74" s="46" t="s">
        <v>165</v>
      </c>
      <c r="B74" s="46"/>
      <c r="C74" s="46"/>
      <c r="D74" s="47">
        <f t="shared" si="0"/>
        <v>0</v>
      </c>
      <c r="E74" s="46"/>
      <c r="F74" s="46"/>
      <c r="G74" s="47">
        <f t="shared" si="1"/>
        <v>0</v>
      </c>
      <c r="H74" s="48">
        <v>450</v>
      </c>
      <c r="I74" s="35">
        <f t="shared" si="2"/>
        <v>0</v>
      </c>
      <c r="J74" s="46">
        <f t="shared" si="3"/>
        <v>5</v>
      </c>
      <c r="K74" s="46">
        <v>50</v>
      </c>
    </row>
    <row r="75" spans="1:11" x14ac:dyDescent="0.3">
      <c r="A75" s="46" t="s">
        <v>166</v>
      </c>
      <c r="B75" s="46"/>
      <c r="C75" s="46"/>
      <c r="D75" s="47">
        <f t="shared" si="0"/>
        <v>0</v>
      </c>
      <c r="E75" s="46"/>
      <c r="F75" s="46"/>
      <c r="G75" s="47">
        <f t="shared" si="1"/>
        <v>0</v>
      </c>
      <c r="H75" s="48">
        <v>950</v>
      </c>
      <c r="I75" s="35">
        <f t="shared" si="2"/>
        <v>0</v>
      </c>
      <c r="J75" s="46">
        <f t="shared" si="3"/>
        <v>2</v>
      </c>
      <c r="K75" s="46">
        <v>20</v>
      </c>
    </row>
    <row r="76" spans="1:11" x14ac:dyDescent="0.3">
      <c r="A76" s="46" t="s">
        <v>167</v>
      </c>
      <c r="B76" s="46">
        <v>6</v>
      </c>
      <c r="C76" s="46"/>
      <c r="D76" s="47">
        <f t="shared" si="0"/>
        <v>6</v>
      </c>
      <c r="E76" s="46">
        <v>5</v>
      </c>
      <c r="F76" s="46"/>
      <c r="G76" s="47">
        <f t="shared" si="1"/>
        <v>1</v>
      </c>
      <c r="H76" s="48">
        <v>3200</v>
      </c>
      <c r="I76" s="35">
        <f t="shared" si="2"/>
        <v>3200</v>
      </c>
      <c r="J76" s="46">
        <f t="shared" si="3"/>
        <v>2</v>
      </c>
      <c r="K76" s="46">
        <v>20</v>
      </c>
    </row>
    <row r="77" spans="1:11" x14ac:dyDescent="0.3">
      <c r="A77" s="46" t="s">
        <v>168</v>
      </c>
      <c r="B77" s="46"/>
      <c r="C77" s="46"/>
      <c r="D77" s="47">
        <f t="shared" si="0"/>
        <v>0</v>
      </c>
      <c r="E77" s="46"/>
      <c r="F77" s="46"/>
      <c r="G77" s="47">
        <f t="shared" si="1"/>
        <v>0</v>
      </c>
      <c r="H77" s="48">
        <v>1000</v>
      </c>
      <c r="I77" s="35">
        <f t="shared" si="2"/>
        <v>0</v>
      </c>
      <c r="J77" s="46">
        <f t="shared" si="3"/>
        <v>5</v>
      </c>
      <c r="K77" s="46">
        <v>50</v>
      </c>
    </row>
    <row r="78" spans="1:11" x14ac:dyDescent="0.3">
      <c r="A78" s="46" t="s">
        <v>169</v>
      </c>
      <c r="B78" s="46">
        <v>2</v>
      </c>
      <c r="C78" s="46"/>
      <c r="D78" s="47">
        <f t="shared" si="0"/>
        <v>2</v>
      </c>
      <c r="E78" s="46">
        <v>2</v>
      </c>
      <c r="F78" s="46"/>
      <c r="G78" s="47">
        <f t="shared" si="1"/>
        <v>0</v>
      </c>
      <c r="H78" s="48">
        <v>1800</v>
      </c>
      <c r="I78" s="35">
        <f t="shared" si="2"/>
        <v>0</v>
      </c>
      <c r="J78" s="46">
        <f t="shared" si="3"/>
        <v>3</v>
      </c>
      <c r="K78" s="46">
        <v>30</v>
      </c>
    </row>
    <row r="79" spans="1:11" x14ac:dyDescent="0.3">
      <c r="A79" s="46" t="s">
        <v>170</v>
      </c>
      <c r="B79" s="46"/>
      <c r="C79" s="46"/>
      <c r="D79" s="47">
        <f t="shared" si="0"/>
        <v>0</v>
      </c>
      <c r="E79" s="46"/>
      <c r="F79" s="46"/>
      <c r="G79" s="47">
        <f t="shared" si="1"/>
        <v>0</v>
      </c>
      <c r="H79" s="48">
        <v>400</v>
      </c>
      <c r="I79" s="35">
        <f t="shared" si="2"/>
        <v>0</v>
      </c>
      <c r="J79" s="46">
        <f t="shared" si="3"/>
        <v>2</v>
      </c>
      <c r="K79" s="46">
        <v>20</v>
      </c>
    </row>
    <row r="80" spans="1:11" x14ac:dyDescent="0.3">
      <c r="A80" s="46" t="s">
        <v>171</v>
      </c>
      <c r="B80" s="46">
        <v>1</v>
      </c>
      <c r="C80" s="46">
        <v>10</v>
      </c>
      <c r="D80" s="47">
        <f t="shared" si="0"/>
        <v>11</v>
      </c>
      <c r="E80" s="46">
        <v>10</v>
      </c>
      <c r="F80" s="46"/>
      <c r="G80" s="47">
        <f t="shared" si="1"/>
        <v>1</v>
      </c>
      <c r="H80" s="48">
        <v>1400</v>
      </c>
      <c r="I80" s="35">
        <f t="shared" si="2"/>
        <v>1400</v>
      </c>
      <c r="J80" s="46">
        <f t="shared" si="3"/>
        <v>1</v>
      </c>
      <c r="K80" s="46">
        <v>10</v>
      </c>
    </row>
    <row r="81" spans="1:11" x14ac:dyDescent="0.3">
      <c r="A81" s="46" t="s">
        <v>172</v>
      </c>
      <c r="B81" s="46"/>
      <c r="C81" s="46"/>
      <c r="D81" s="47">
        <f t="shared" si="0"/>
        <v>0</v>
      </c>
      <c r="E81" s="46"/>
      <c r="F81" s="46"/>
      <c r="G81" s="47">
        <f t="shared" si="1"/>
        <v>0</v>
      </c>
      <c r="H81" s="48">
        <v>1000</v>
      </c>
      <c r="I81" s="35">
        <f t="shared" si="2"/>
        <v>0</v>
      </c>
      <c r="J81" s="46">
        <f t="shared" si="3"/>
        <v>5</v>
      </c>
      <c r="K81" s="46">
        <v>50</v>
      </c>
    </row>
    <row r="82" spans="1:11" x14ac:dyDescent="0.3">
      <c r="A82" s="46"/>
      <c r="B82" s="46"/>
      <c r="C82" s="46"/>
      <c r="D82" s="47"/>
      <c r="E82" s="46"/>
      <c r="F82" s="46"/>
      <c r="G82" s="47"/>
      <c r="H82" s="48"/>
      <c r="I82" s="35"/>
      <c r="J82" s="46">
        <f t="shared" si="3"/>
        <v>2</v>
      </c>
      <c r="K82" s="46">
        <v>20</v>
      </c>
    </row>
    <row r="83" spans="1:11" x14ac:dyDescent="0.3">
      <c r="A83" s="42" t="s">
        <v>173</v>
      </c>
      <c r="B83" s="46"/>
      <c r="C83" s="46"/>
      <c r="D83" s="47">
        <f t="shared" si="0"/>
        <v>0</v>
      </c>
      <c r="E83" s="46"/>
      <c r="F83" s="46"/>
      <c r="G83" s="47">
        <f t="shared" si="1"/>
        <v>0</v>
      </c>
      <c r="H83" s="48"/>
      <c r="I83" s="35">
        <f t="shared" si="2"/>
        <v>0</v>
      </c>
      <c r="J83" s="46">
        <f t="shared" si="3"/>
        <v>0</v>
      </c>
      <c r="K83" s="46"/>
    </row>
    <row r="84" spans="1:11" x14ac:dyDescent="0.3">
      <c r="A84" s="46" t="s">
        <v>174</v>
      </c>
      <c r="B84" s="46"/>
      <c r="C84" s="46"/>
      <c r="D84" s="47">
        <f t="shared" si="0"/>
        <v>0</v>
      </c>
      <c r="E84" s="46"/>
      <c r="F84" s="46"/>
      <c r="G84" s="47">
        <f t="shared" si="1"/>
        <v>0</v>
      </c>
      <c r="H84" s="48">
        <v>9</v>
      </c>
      <c r="I84" s="35">
        <f t="shared" si="2"/>
        <v>0</v>
      </c>
      <c r="J84" s="46">
        <f t="shared" si="3"/>
        <v>0</v>
      </c>
      <c r="K84" s="46"/>
    </row>
    <row r="85" spans="1:11" x14ac:dyDescent="0.3">
      <c r="A85" s="46" t="s">
        <v>175</v>
      </c>
      <c r="B85" s="46">
        <v>3000</v>
      </c>
      <c r="C85" s="46"/>
      <c r="D85" s="47">
        <f t="shared" si="0"/>
        <v>3000</v>
      </c>
      <c r="E85" s="46">
        <v>2000</v>
      </c>
      <c r="F85" s="46"/>
      <c r="G85" s="47">
        <f t="shared" si="1"/>
        <v>1000</v>
      </c>
      <c r="H85" s="48">
        <v>10</v>
      </c>
      <c r="I85" s="35">
        <f t="shared" si="2"/>
        <v>10000</v>
      </c>
      <c r="J85" s="46">
        <f t="shared" si="3"/>
        <v>500</v>
      </c>
      <c r="K85" s="46">
        <v>5000</v>
      </c>
    </row>
    <row r="86" spans="1:11" x14ac:dyDescent="0.3">
      <c r="A86" s="46" t="s">
        <v>176</v>
      </c>
      <c r="B86" s="46"/>
      <c r="C86" s="46"/>
      <c r="D86" s="47">
        <f t="shared" si="0"/>
        <v>0</v>
      </c>
      <c r="E86" s="46"/>
      <c r="F86" s="46"/>
      <c r="G86" s="47">
        <f t="shared" si="1"/>
        <v>0</v>
      </c>
      <c r="H86" s="48">
        <v>9</v>
      </c>
      <c r="I86" s="35">
        <f t="shared" si="2"/>
        <v>0</v>
      </c>
      <c r="J86" s="46">
        <f t="shared" si="3"/>
        <v>500</v>
      </c>
      <c r="K86" s="46">
        <v>5000</v>
      </c>
    </row>
    <row r="87" spans="1:11" x14ac:dyDescent="0.3">
      <c r="A87" s="46" t="s">
        <v>177</v>
      </c>
      <c r="B87" s="46">
        <v>30</v>
      </c>
      <c r="C87" s="46"/>
      <c r="D87" s="47">
        <f t="shared" si="0"/>
        <v>30</v>
      </c>
      <c r="E87" s="46">
        <v>20</v>
      </c>
      <c r="F87" s="46"/>
      <c r="G87" s="47">
        <f t="shared" si="1"/>
        <v>10</v>
      </c>
      <c r="H87" s="48">
        <v>500</v>
      </c>
      <c r="I87" s="35">
        <f t="shared" si="2"/>
        <v>5000</v>
      </c>
      <c r="J87" s="46">
        <f t="shared" si="3"/>
        <v>500</v>
      </c>
      <c r="K87" s="46">
        <v>5000</v>
      </c>
    </row>
    <row r="88" spans="1:11" x14ac:dyDescent="0.3">
      <c r="A88" s="46" t="s">
        <v>178</v>
      </c>
      <c r="B88" s="46"/>
      <c r="C88" s="46"/>
      <c r="D88" s="47">
        <f t="shared" si="0"/>
        <v>0</v>
      </c>
      <c r="E88" s="46"/>
      <c r="F88" s="46"/>
      <c r="G88" s="47">
        <f t="shared" si="1"/>
        <v>0</v>
      </c>
      <c r="H88" s="48"/>
      <c r="I88" s="35">
        <f t="shared" si="2"/>
        <v>0</v>
      </c>
      <c r="J88" s="46">
        <f t="shared" si="3"/>
        <v>100</v>
      </c>
      <c r="K88" s="46">
        <v>1000</v>
      </c>
    </row>
    <row r="89" spans="1:11" x14ac:dyDescent="0.3">
      <c r="A89" s="46" t="s">
        <v>179</v>
      </c>
      <c r="B89" s="46">
        <v>3000</v>
      </c>
      <c r="C89" s="46"/>
      <c r="D89" s="47">
        <f t="shared" si="0"/>
        <v>3000</v>
      </c>
      <c r="E89" s="46">
        <v>1500</v>
      </c>
      <c r="F89" s="46"/>
      <c r="G89" s="47">
        <f t="shared" si="1"/>
        <v>1500</v>
      </c>
      <c r="H89" s="48">
        <v>7.5</v>
      </c>
      <c r="I89" s="35">
        <f t="shared" si="2"/>
        <v>11250</v>
      </c>
      <c r="J89" s="46">
        <f t="shared" ref="J89:J152" si="4">K89/10</f>
        <v>5</v>
      </c>
      <c r="K89" s="46">
        <v>50</v>
      </c>
    </row>
    <row r="90" spans="1:11" x14ac:dyDescent="0.3">
      <c r="A90" s="46" t="s">
        <v>180</v>
      </c>
      <c r="B90" s="46"/>
      <c r="C90" s="46"/>
      <c r="D90" s="47">
        <f t="shared" si="0"/>
        <v>0</v>
      </c>
      <c r="E90" s="46"/>
      <c r="F90" s="46"/>
      <c r="G90" s="47">
        <f t="shared" si="1"/>
        <v>0</v>
      </c>
      <c r="H90" s="48">
        <v>20</v>
      </c>
      <c r="I90" s="35">
        <f t="shared" si="2"/>
        <v>0</v>
      </c>
      <c r="J90" s="46">
        <f t="shared" si="4"/>
        <v>1000</v>
      </c>
      <c r="K90" s="46">
        <v>10000</v>
      </c>
    </row>
    <row r="91" spans="1:11" x14ac:dyDescent="0.3">
      <c r="A91" s="46" t="s">
        <v>181</v>
      </c>
      <c r="B91" s="46">
        <v>5</v>
      </c>
      <c r="C91" s="46">
        <v>10</v>
      </c>
      <c r="D91" s="47">
        <f t="shared" si="0"/>
        <v>15</v>
      </c>
      <c r="E91" s="46">
        <v>5</v>
      </c>
      <c r="F91" s="46"/>
      <c r="G91" s="47">
        <f t="shared" si="1"/>
        <v>10</v>
      </c>
      <c r="H91" s="49">
        <v>500</v>
      </c>
      <c r="I91" s="35">
        <f t="shared" si="2"/>
        <v>5000</v>
      </c>
      <c r="J91" s="46">
        <f t="shared" si="4"/>
        <v>1000</v>
      </c>
      <c r="K91" s="46">
        <v>10000</v>
      </c>
    </row>
    <row r="92" spans="1:11" x14ac:dyDescent="0.3">
      <c r="A92" s="46" t="s">
        <v>182</v>
      </c>
      <c r="B92" s="46">
        <v>50</v>
      </c>
      <c r="C92" s="46"/>
      <c r="D92" s="47">
        <v>50</v>
      </c>
      <c r="E92" s="46">
        <v>10</v>
      </c>
      <c r="F92" s="46"/>
      <c r="G92" s="47">
        <f t="shared" si="1"/>
        <v>40</v>
      </c>
      <c r="H92" s="49">
        <v>200</v>
      </c>
      <c r="I92" s="35">
        <f t="shared" si="2"/>
        <v>8000</v>
      </c>
      <c r="J92" s="46">
        <f t="shared" si="4"/>
        <v>20</v>
      </c>
      <c r="K92" s="46">
        <v>200</v>
      </c>
    </row>
    <row r="93" spans="1:11" x14ac:dyDescent="0.3">
      <c r="A93" s="46" t="s">
        <v>183</v>
      </c>
      <c r="B93" s="46"/>
      <c r="C93" s="46"/>
      <c r="D93" s="47">
        <f t="shared" si="0"/>
        <v>0</v>
      </c>
      <c r="E93" s="46"/>
      <c r="F93" s="46"/>
      <c r="G93" s="47">
        <f t="shared" si="1"/>
        <v>0</v>
      </c>
      <c r="H93" s="50">
        <v>400</v>
      </c>
      <c r="I93" s="35">
        <f t="shared" si="2"/>
        <v>0</v>
      </c>
      <c r="J93" s="46">
        <f t="shared" si="4"/>
        <v>20</v>
      </c>
      <c r="K93" s="46">
        <v>200</v>
      </c>
    </row>
    <row r="94" spans="1:11" x14ac:dyDescent="0.3">
      <c r="A94" s="46" t="s">
        <v>184</v>
      </c>
      <c r="B94" s="46">
        <v>1</v>
      </c>
      <c r="C94" s="46"/>
      <c r="D94" s="47">
        <f t="shared" si="0"/>
        <v>1</v>
      </c>
      <c r="E94" s="46"/>
      <c r="F94" s="46"/>
      <c r="G94" s="47">
        <f t="shared" si="1"/>
        <v>1</v>
      </c>
      <c r="H94" s="50">
        <v>1000</v>
      </c>
      <c r="I94" s="35">
        <f t="shared" si="2"/>
        <v>1000</v>
      </c>
      <c r="J94" s="46">
        <f t="shared" si="4"/>
        <v>10</v>
      </c>
      <c r="K94" s="46">
        <v>100</v>
      </c>
    </row>
    <row r="95" spans="1:11" x14ac:dyDescent="0.3">
      <c r="A95" s="46" t="s">
        <v>185</v>
      </c>
      <c r="B95" s="46">
        <v>10</v>
      </c>
      <c r="C95" s="46"/>
      <c r="D95" s="47">
        <f t="shared" si="0"/>
        <v>10</v>
      </c>
      <c r="E95" s="46">
        <v>5</v>
      </c>
      <c r="F95" s="46"/>
      <c r="G95" s="47">
        <f t="shared" si="1"/>
        <v>5</v>
      </c>
      <c r="H95" s="50">
        <v>700</v>
      </c>
      <c r="I95" s="35">
        <f t="shared" si="2"/>
        <v>3500</v>
      </c>
      <c r="J95" s="46">
        <f t="shared" si="4"/>
        <v>1</v>
      </c>
      <c r="K95" s="46">
        <v>10</v>
      </c>
    </row>
    <row r="96" spans="1:11" x14ac:dyDescent="0.3">
      <c r="A96" s="46" t="s">
        <v>186</v>
      </c>
      <c r="B96" s="46">
        <v>8</v>
      </c>
      <c r="C96" s="46"/>
      <c r="D96" s="47">
        <f t="shared" si="0"/>
        <v>8</v>
      </c>
      <c r="E96" s="46">
        <v>2</v>
      </c>
      <c r="F96" s="46"/>
      <c r="G96" s="47">
        <f t="shared" si="1"/>
        <v>6</v>
      </c>
      <c r="H96" s="48">
        <v>350</v>
      </c>
      <c r="I96" s="35">
        <f t="shared" si="2"/>
        <v>2100</v>
      </c>
      <c r="J96" s="46">
        <f t="shared" si="4"/>
        <v>3</v>
      </c>
      <c r="K96" s="46">
        <v>30</v>
      </c>
    </row>
    <row r="97" spans="1:11" x14ac:dyDescent="0.3">
      <c r="A97" s="46" t="s">
        <v>187</v>
      </c>
      <c r="B97" s="46">
        <v>20</v>
      </c>
      <c r="C97" s="46"/>
      <c r="D97" s="47">
        <f t="shared" si="0"/>
        <v>20</v>
      </c>
      <c r="E97" s="46">
        <v>10</v>
      </c>
      <c r="F97" s="46"/>
      <c r="G97" s="47">
        <f t="shared" si="1"/>
        <v>10</v>
      </c>
      <c r="H97" s="50">
        <v>150</v>
      </c>
      <c r="I97" s="35">
        <f t="shared" si="2"/>
        <v>1500</v>
      </c>
      <c r="J97" s="46">
        <f t="shared" si="4"/>
        <v>10</v>
      </c>
      <c r="K97" s="46">
        <v>100</v>
      </c>
    </row>
    <row r="98" spans="1:11" x14ac:dyDescent="0.3">
      <c r="A98" s="46" t="s">
        <v>188</v>
      </c>
      <c r="B98" s="46">
        <v>4</v>
      </c>
      <c r="C98" s="46">
        <v>10</v>
      </c>
      <c r="D98" s="47">
        <f t="shared" ref="D98:D174" si="5">B98+C98</f>
        <v>14</v>
      </c>
      <c r="E98" s="46">
        <v>10</v>
      </c>
      <c r="F98" s="46"/>
      <c r="G98" s="47">
        <f t="shared" si="1"/>
        <v>4</v>
      </c>
      <c r="H98" s="48">
        <v>600</v>
      </c>
      <c r="I98" s="35">
        <f t="shared" si="2"/>
        <v>2400</v>
      </c>
      <c r="J98" s="46">
        <f t="shared" si="4"/>
        <v>5</v>
      </c>
      <c r="K98" s="46">
        <v>50</v>
      </c>
    </row>
    <row r="99" spans="1:11" x14ac:dyDescent="0.3">
      <c r="A99" s="46" t="s">
        <v>189</v>
      </c>
      <c r="B99" s="46">
        <v>7</v>
      </c>
      <c r="C99" s="46">
        <v>10</v>
      </c>
      <c r="D99" s="47">
        <f t="shared" si="5"/>
        <v>17</v>
      </c>
      <c r="E99" s="46">
        <v>10</v>
      </c>
      <c r="F99" s="46"/>
      <c r="G99" s="47">
        <f t="shared" si="1"/>
        <v>7</v>
      </c>
      <c r="H99" s="48">
        <v>900</v>
      </c>
      <c r="I99" s="35">
        <f t="shared" si="2"/>
        <v>6300</v>
      </c>
      <c r="J99" s="46">
        <f t="shared" si="4"/>
        <v>20</v>
      </c>
      <c r="K99" s="46">
        <v>200</v>
      </c>
    </row>
    <row r="100" spans="1:11" x14ac:dyDescent="0.3">
      <c r="A100" s="46" t="s">
        <v>190</v>
      </c>
      <c r="B100" s="46"/>
      <c r="C100" s="46"/>
      <c r="D100" s="47">
        <f t="shared" si="5"/>
        <v>0</v>
      </c>
      <c r="E100" s="46"/>
      <c r="F100" s="46"/>
      <c r="G100" s="47">
        <f t="shared" si="1"/>
        <v>0</v>
      </c>
      <c r="H100" s="48">
        <v>380</v>
      </c>
      <c r="I100" s="35">
        <f t="shared" si="2"/>
        <v>0</v>
      </c>
      <c r="J100" s="46">
        <f t="shared" si="4"/>
        <v>20</v>
      </c>
      <c r="K100" s="46">
        <v>200</v>
      </c>
    </row>
    <row r="101" spans="1:11" x14ac:dyDescent="0.3">
      <c r="A101" s="46" t="s">
        <v>191</v>
      </c>
      <c r="B101" s="46"/>
      <c r="C101" s="46"/>
      <c r="D101" s="47">
        <f t="shared" si="5"/>
        <v>0</v>
      </c>
      <c r="E101" s="46"/>
      <c r="F101" s="46"/>
      <c r="G101" s="47">
        <f t="shared" si="1"/>
        <v>0</v>
      </c>
      <c r="H101" s="48">
        <v>1800</v>
      </c>
      <c r="I101" s="35">
        <f t="shared" si="2"/>
        <v>0</v>
      </c>
      <c r="J101" s="46">
        <f t="shared" si="4"/>
        <v>5</v>
      </c>
      <c r="K101" s="46">
        <v>50</v>
      </c>
    </row>
    <row r="102" spans="1:11" x14ac:dyDescent="0.3">
      <c r="A102" s="46" t="s">
        <v>192</v>
      </c>
      <c r="B102" s="46"/>
      <c r="C102" s="46"/>
      <c r="D102" s="47">
        <f t="shared" si="5"/>
        <v>0</v>
      </c>
      <c r="E102" s="46"/>
      <c r="F102" s="46"/>
      <c r="G102" s="47">
        <f t="shared" si="1"/>
        <v>0</v>
      </c>
      <c r="H102" s="48">
        <v>550</v>
      </c>
      <c r="I102" s="35">
        <f t="shared" si="2"/>
        <v>0</v>
      </c>
      <c r="J102" s="46">
        <f t="shared" si="4"/>
        <v>0</v>
      </c>
      <c r="K102" s="46"/>
    </row>
    <row r="103" spans="1:11" x14ac:dyDescent="0.3">
      <c r="A103" s="46" t="s">
        <v>193</v>
      </c>
      <c r="B103" s="46"/>
      <c r="C103" s="46"/>
      <c r="D103" s="47">
        <f t="shared" si="5"/>
        <v>0</v>
      </c>
      <c r="E103" s="46"/>
      <c r="F103" s="46"/>
      <c r="G103" s="47">
        <f t="shared" si="1"/>
        <v>0</v>
      </c>
      <c r="H103" s="48">
        <v>500</v>
      </c>
      <c r="I103" s="35">
        <f t="shared" si="2"/>
        <v>0</v>
      </c>
      <c r="J103" s="46">
        <f t="shared" si="4"/>
        <v>1</v>
      </c>
      <c r="K103" s="46">
        <v>10</v>
      </c>
    </row>
    <row r="104" spans="1:11" x14ac:dyDescent="0.3">
      <c r="A104" s="46" t="s">
        <v>194</v>
      </c>
      <c r="B104" s="46">
        <v>24</v>
      </c>
      <c r="C104" s="46">
        <v>10</v>
      </c>
      <c r="D104" s="47">
        <f t="shared" si="5"/>
        <v>34</v>
      </c>
      <c r="E104" s="46">
        <v>23</v>
      </c>
      <c r="F104" s="46"/>
      <c r="G104" s="47">
        <f t="shared" si="1"/>
        <v>11</v>
      </c>
      <c r="H104" s="48">
        <v>750</v>
      </c>
      <c r="I104" s="35">
        <f t="shared" si="2"/>
        <v>8250</v>
      </c>
      <c r="J104" s="46">
        <f t="shared" si="4"/>
        <v>20</v>
      </c>
      <c r="K104" s="46">
        <v>200</v>
      </c>
    </row>
    <row r="105" spans="1:11" x14ac:dyDescent="0.3">
      <c r="A105" s="46" t="s">
        <v>195</v>
      </c>
      <c r="B105" s="46">
        <v>10</v>
      </c>
      <c r="C105" s="46"/>
      <c r="D105" s="47">
        <f t="shared" si="5"/>
        <v>10</v>
      </c>
      <c r="E105" s="46">
        <v>5</v>
      </c>
      <c r="F105" s="46"/>
      <c r="G105" s="47">
        <f t="shared" si="1"/>
        <v>5</v>
      </c>
      <c r="H105" s="48">
        <v>160</v>
      </c>
      <c r="I105" s="35">
        <f t="shared" si="2"/>
        <v>800</v>
      </c>
      <c r="J105" s="46">
        <f t="shared" si="4"/>
        <v>10</v>
      </c>
      <c r="K105" s="46">
        <v>100</v>
      </c>
    </row>
    <row r="106" spans="1:11" x14ac:dyDescent="0.3">
      <c r="A106" s="46" t="s">
        <v>196</v>
      </c>
      <c r="B106" s="46"/>
      <c r="C106" s="46"/>
      <c r="D106" s="47">
        <f t="shared" si="5"/>
        <v>0</v>
      </c>
      <c r="E106" s="46"/>
      <c r="F106" s="46"/>
      <c r="G106" s="47">
        <f t="shared" si="1"/>
        <v>0</v>
      </c>
      <c r="H106" s="48">
        <v>335</v>
      </c>
      <c r="I106" s="35">
        <f t="shared" si="2"/>
        <v>0</v>
      </c>
      <c r="J106" s="46">
        <f t="shared" si="4"/>
        <v>5</v>
      </c>
      <c r="K106" s="46">
        <v>50</v>
      </c>
    </row>
    <row r="107" spans="1:11" x14ac:dyDescent="0.3">
      <c r="A107" s="46" t="s">
        <v>197</v>
      </c>
      <c r="B107" s="46"/>
      <c r="C107" s="46"/>
      <c r="D107" s="47">
        <f t="shared" si="5"/>
        <v>0</v>
      </c>
      <c r="E107" s="46"/>
      <c r="F107" s="46"/>
      <c r="G107" s="47">
        <f t="shared" si="1"/>
        <v>0</v>
      </c>
      <c r="H107" s="48">
        <v>150</v>
      </c>
      <c r="I107" s="35">
        <f t="shared" si="2"/>
        <v>0</v>
      </c>
      <c r="J107" s="46">
        <f t="shared" si="4"/>
        <v>5</v>
      </c>
      <c r="K107" s="46">
        <v>50</v>
      </c>
    </row>
    <row r="108" spans="1:11" x14ac:dyDescent="0.3">
      <c r="A108" s="46" t="s">
        <v>198</v>
      </c>
      <c r="B108" s="46"/>
      <c r="C108" s="46"/>
      <c r="D108" s="47">
        <f t="shared" si="5"/>
        <v>0</v>
      </c>
      <c r="E108" s="46"/>
      <c r="F108" s="46"/>
      <c r="G108" s="47">
        <f t="shared" si="1"/>
        <v>0</v>
      </c>
      <c r="H108" s="48">
        <v>270</v>
      </c>
      <c r="I108" s="35">
        <f t="shared" si="2"/>
        <v>0</v>
      </c>
      <c r="J108" s="46">
        <f t="shared" si="4"/>
        <v>5</v>
      </c>
      <c r="K108" s="46">
        <v>50</v>
      </c>
    </row>
    <row r="109" spans="1:11" x14ac:dyDescent="0.3">
      <c r="A109" s="46" t="s">
        <v>199</v>
      </c>
      <c r="B109" s="46"/>
      <c r="C109" s="46"/>
      <c r="D109" s="47">
        <f t="shared" si="5"/>
        <v>0</v>
      </c>
      <c r="E109" s="46"/>
      <c r="F109" s="46"/>
      <c r="G109" s="47">
        <f t="shared" si="1"/>
        <v>0</v>
      </c>
      <c r="H109" s="48">
        <v>550</v>
      </c>
      <c r="I109" s="35">
        <f t="shared" si="2"/>
        <v>0</v>
      </c>
      <c r="J109" s="46">
        <f t="shared" si="4"/>
        <v>3</v>
      </c>
      <c r="K109" s="46">
        <v>30</v>
      </c>
    </row>
    <row r="110" spans="1:11" x14ac:dyDescent="0.3">
      <c r="A110" s="46" t="s">
        <v>200</v>
      </c>
      <c r="B110" s="46"/>
      <c r="C110" s="46"/>
      <c r="D110" s="47">
        <f t="shared" si="5"/>
        <v>0</v>
      </c>
      <c r="E110" s="46"/>
      <c r="F110" s="46"/>
      <c r="G110" s="47">
        <f t="shared" si="1"/>
        <v>0</v>
      </c>
      <c r="H110" s="48">
        <v>1700</v>
      </c>
      <c r="I110" s="35">
        <f t="shared" si="2"/>
        <v>0</v>
      </c>
      <c r="J110" s="46">
        <f t="shared" si="4"/>
        <v>2</v>
      </c>
      <c r="K110" s="46">
        <v>20</v>
      </c>
    </row>
    <row r="111" spans="1:11" x14ac:dyDescent="0.3">
      <c r="A111" s="46" t="s">
        <v>201</v>
      </c>
      <c r="B111" s="46"/>
      <c r="C111" s="46"/>
      <c r="D111" s="47">
        <f t="shared" si="5"/>
        <v>0</v>
      </c>
      <c r="E111" s="46"/>
      <c r="F111" s="46"/>
      <c r="G111" s="47">
        <f t="shared" si="1"/>
        <v>0</v>
      </c>
      <c r="H111" s="48">
        <v>550</v>
      </c>
      <c r="I111" s="35">
        <f t="shared" si="2"/>
        <v>0</v>
      </c>
      <c r="J111" s="46">
        <f t="shared" si="4"/>
        <v>1</v>
      </c>
      <c r="K111" s="46">
        <v>10</v>
      </c>
    </row>
    <row r="112" spans="1:11" x14ac:dyDescent="0.3">
      <c r="A112" s="46"/>
      <c r="B112" s="46"/>
      <c r="C112" s="46"/>
      <c r="D112" s="47"/>
      <c r="E112" s="46"/>
      <c r="F112" s="46"/>
      <c r="G112" s="47"/>
      <c r="H112" s="48"/>
      <c r="I112" s="35"/>
      <c r="J112" s="46">
        <f t="shared" si="4"/>
        <v>5</v>
      </c>
      <c r="K112" s="46">
        <v>50</v>
      </c>
    </row>
    <row r="113" spans="1:11" x14ac:dyDescent="0.3">
      <c r="A113" s="42" t="s">
        <v>202</v>
      </c>
      <c r="B113" s="46"/>
      <c r="C113" s="46"/>
      <c r="D113" s="47">
        <f t="shared" si="5"/>
        <v>0</v>
      </c>
      <c r="E113" s="46"/>
      <c r="F113" s="46"/>
      <c r="G113" s="47">
        <f t="shared" si="1"/>
        <v>0</v>
      </c>
      <c r="H113" s="48"/>
      <c r="I113" s="35">
        <f t="shared" si="2"/>
        <v>0</v>
      </c>
      <c r="J113" s="46">
        <f t="shared" si="4"/>
        <v>0</v>
      </c>
      <c r="K113" s="46"/>
    </row>
    <row r="114" spans="1:11" x14ac:dyDescent="0.3">
      <c r="A114" s="46" t="s">
        <v>203</v>
      </c>
      <c r="B114" s="46">
        <v>500</v>
      </c>
      <c r="C114" s="46">
        <v>1000</v>
      </c>
      <c r="D114" s="47">
        <f t="shared" si="5"/>
        <v>1500</v>
      </c>
      <c r="E114" s="46">
        <v>1000</v>
      </c>
      <c r="F114" s="46"/>
      <c r="G114" s="47">
        <f t="shared" si="1"/>
        <v>500</v>
      </c>
      <c r="H114" s="48">
        <v>10</v>
      </c>
      <c r="I114" s="35">
        <f t="shared" si="2"/>
        <v>5000</v>
      </c>
      <c r="J114" s="46">
        <f t="shared" si="4"/>
        <v>0</v>
      </c>
      <c r="K114" s="46"/>
    </row>
    <row r="115" spans="1:11" x14ac:dyDescent="0.3">
      <c r="A115" s="46" t="s">
        <v>204</v>
      </c>
      <c r="B115" s="46"/>
      <c r="C115" s="46"/>
      <c r="D115" s="47">
        <f t="shared" si="5"/>
        <v>0</v>
      </c>
      <c r="E115" s="46"/>
      <c r="F115" s="46"/>
      <c r="G115" s="47">
        <f t="shared" si="1"/>
        <v>0</v>
      </c>
      <c r="H115" s="48">
        <v>10</v>
      </c>
      <c r="I115" s="35">
        <f t="shared" si="2"/>
        <v>0</v>
      </c>
      <c r="J115" s="46">
        <f t="shared" si="4"/>
        <v>500</v>
      </c>
      <c r="K115" s="46">
        <v>5000</v>
      </c>
    </row>
    <row r="116" spans="1:11" x14ac:dyDescent="0.3">
      <c r="A116" s="46" t="s">
        <v>205</v>
      </c>
      <c r="B116" s="46">
        <v>5</v>
      </c>
      <c r="C116" s="46">
        <v>20</v>
      </c>
      <c r="D116" s="47">
        <f t="shared" si="5"/>
        <v>25</v>
      </c>
      <c r="E116" s="46">
        <v>20</v>
      </c>
      <c r="F116" s="46"/>
      <c r="G116" s="47">
        <f t="shared" si="1"/>
        <v>5</v>
      </c>
      <c r="H116" s="49">
        <v>360</v>
      </c>
      <c r="I116" s="35">
        <f t="shared" si="2"/>
        <v>1800</v>
      </c>
      <c r="J116" s="46">
        <f t="shared" si="4"/>
        <v>500</v>
      </c>
      <c r="K116" s="46">
        <v>5000</v>
      </c>
    </row>
    <row r="117" spans="1:11" x14ac:dyDescent="0.3">
      <c r="A117" s="46" t="s">
        <v>206</v>
      </c>
      <c r="B117" s="46"/>
      <c r="C117" s="46"/>
      <c r="D117" s="47">
        <f t="shared" si="5"/>
        <v>0</v>
      </c>
      <c r="E117" s="46"/>
      <c r="F117" s="46"/>
      <c r="G117" s="47">
        <f t="shared" si="1"/>
        <v>0</v>
      </c>
      <c r="H117" s="48">
        <v>600</v>
      </c>
      <c r="I117" s="35">
        <f t="shared" si="2"/>
        <v>0</v>
      </c>
      <c r="J117" s="46">
        <f t="shared" si="4"/>
        <v>5</v>
      </c>
      <c r="K117" s="46">
        <v>50</v>
      </c>
    </row>
    <row r="118" spans="1:11" x14ac:dyDescent="0.3">
      <c r="A118" s="46" t="s">
        <v>207</v>
      </c>
      <c r="B118" s="46">
        <v>2</v>
      </c>
      <c r="C118" s="46"/>
      <c r="D118" s="47">
        <f t="shared" si="5"/>
        <v>2</v>
      </c>
      <c r="E118" s="46">
        <v>1</v>
      </c>
      <c r="F118" s="46"/>
      <c r="G118" s="47">
        <f t="shared" si="1"/>
        <v>1</v>
      </c>
      <c r="H118" s="48">
        <v>500</v>
      </c>
      <c r="I118" s="35">
        <f t="shared" si="2"/>
        <v>500</v>
      </c>
      <c r="J118" s="46">
        <f t="shared" si="4"/>
        <v>2</v>
      </c>
      <c r="K118" s="46">
        <v>20</v>
      </c>
    </row>
    <row r="119" spans="1:11" x14ac:dyDescent="0.3">
      <c r="A119" s="46" t="s">
        <v>208</v>
      </c>
      <c r="B119" s="46"/>
      <c r="C119" s="46">
        <v>10</v>
      </c>
      <c r="D119" s="47">
        <f t="shared" si="5"/>
        <v>10</v>
      </c>
      <c r="E119" s="46">
        <v>8</v>
      </c>
      <c r="F119" s="46"/>
      <c r="G119" s="47">
        <f t="shared" si="1"/>
        <v>2</v>
      </c>
      <c r="H119" s="48">
        <v>650</v>
      </c>
      <c r="I119" s="35">
        <f t="shared" si="2"/>
        <v>1300</v>
      </c>
      <c r="J119" s="46">
        <f t="shared" si="4"/>
        <v>2</v>
      </c>
      <c r="K119" s="46">
        <v>20</v>
      </c>
    </row>
    <row r="120" spans="1:11" x14ac:dyDescent="0.3">
      <c r="A120" s="46" t="s">
        <v>209</v>
      </c>
      <c r="B120" s="46"/>
      <c r="C120" s="46"/>
      <c r="D120" s="47">
        <f t="shared" si="5"/>
        <v>0</v>
      </c>
      <c r="E120" s="46"/>
      <c r="F120" s="46"/>
      <c r="G120" s="47">
        <f t="shared" si="1"/>
        <v>0</v>
      </c>
      <c r="H120" s="48">
        <v>1600</v>
      </c>
      <c r="I120" s="35">
        <f t="shared" si="2"/>
        <v>0</v>
      </c>
      <c r="J120" s="46">
        <f t="shared" si="4"/>
        <v>5</v>
      </c>
      <c r="K120" s="46">
        <v>50</v>
      </c>
    </row>
    <row r="121" spans="1:11" x14ac:dyDescent="0.3">
      <c r="A121" s="46" t="s">
        <v>210</v>
      </c>
      <c r="B121" s="46"/>
      <c r="C121" s="46"/>
      <c r="D121" s="47">
        <f t="shared" si="5"/>
        <v>0</v>
      </c>
      <c r="E121" s="46"/>
      <c r="F121" s="46"/>
      <c r="G121" s="47">
        <f t="shared" si="1"/>
        <v>0</v>
      </c>
      <c r="H121" s="48">
        <v>1200</v>
      </c>
      <c r="I121" s="35">
        <f t="shared" si="2"/>
        <v>0</v>
      </c>
      <c r="J121" s="46">
        <f t="shared" si="4"/>
        <v>5</v>
      </c>
      <c r="K121" s="46">
        <v>50</v>
      </c>
    </row>
    <row r="122" spans="1:11" x14ac:dyDescent="0.3">
      <c r="A122" s="46"/>
      <c r="B122" s="46"/>
      <c r="C122" s="46"/>
      <c r="D122" s="47">
        <f t="shared" si="5"/>
        <v>0</v>
      </c>
      <c r="E122" s="46"/>
      <c r="F122" s="46"/>
      <c r="G122" s="47">
        <f t="shared" si="1"/>
        <v>0</v>
      </c>
      <c r="H122" s="48"/>
      <c r="I122" s="35">
        <f t="shared" si="2"/>
        <v>0</v>
      </c>
      <c r="J122" s="46">
        <f t="shared" si="4"/>
        <v>5</v>
      </c>
      <c r="K122" s="46">
        <v>50</v>
      </c>
    </row>
    <row r="123" spans="1:11" x14ac:dyDescent="0.3">
      <c r="A123" s="42" t="s">
        <v>211</v>
      </c>
      <c r="B123" s="46"/>
      <c r="C123" s="46"/>
      <c r="D123" s="47">
        <f t="shared" si="5"/>
        <v>0</v>
      </c>
      <c r="E123" s="46"/>
      <c r="F123" s="46"/>
      <c r="G123" s="47">
        <f>D123-E123-F123</f>
        <v>0</v>
      </c>
      <c r="H123" s="48"/>
      <c r="I123" s="35">
        <f t="shared" si="2"/>
        <v>0</v>
      </c>
      <c r="J123" s="46">
        <f t="shared" si="4"/>
        <v>0</v>
      </c>
      <c r="K123" s="46"/>
    </row>
    <row r="124" spans="1:11" x14ac:dyDescent="0.3">
      <c r="A124" s="46" t="s">
        <v>212</v>
      </c>
      <c r="B124" s="46"/>
      <c r="C124" s="46"/>
      <c r="D124" s="47">
        <f t="shared" si="5"/>
        <v>0</v>
      </c>
      <c r="E124" s="46"/>
      <c r="F124" s="46"/>
      <c r="G124" s="47">
        <f>D124-E124-F124</f>
        <v>0</v>
      </c>
      <c r="H124" s="48">
        <v>13</v>
      </c>
      <c r="I124" s="35">
        <f t="shared" si="2"/>
        <v>0</v>
      </c>
      <c r="J124" s="46">
        <f t="shared" si="4"/>
        <v>0</v>
      </c>
      <c r="K124" s="46"/>
    </row>
    <row r="125" spans="1:11" x14ac:dyDescent="0.3">
      <c r="A125" s="46" t="s">
        <v>213</v>
      </c>
      <c r="B125" s="46">
        <v>45</v>
      </c>
      <c r="C125" s="46"/>
      <c r="D125" s="47">
        <f t="shared" si="5"/>
        <v>45</v>
      </c>
      <c r="E125" s="46">
        <v>34</v>
      </c>
      <c r="F125" s="46"/>
      <c r="G125" s="47">
        <f t="shared" si="1"/>
        <v>11</v>
      </c>
      <c r="H125" s="48">
        <v>500</v>
      </c>
      <c r="I125" s="35">
        <f t="shared" si="2"/>
        <v>5500</v>
      </c>
      <c r="J125" s="46">
        <f t="shared" si="4"/>
        <v>200</v>
      </c>
      <c r="K125" s="46">
        <v>2000</v>
      </c>
    </row>
    <row r="126" spans="1:11" x14ac:dyDescent="0.3">
      <c r="A126" s="46" t="s">
        <v>214</v>
      </c>
      <c r="B126" s="46">
        <v>1000</v>
      </c>
      <c r="C126" s="46"/>
      <c r="D126" s="47">
        <f t="shared" si="5"/>
        <v>1000</v>
      </c>
      <c r="E126" s="46">
        <v>1000</v>
      </c>
      <c r="F126" s="46"/>
      <c r="G126" s="47">
        <f t="shared" si="1"/>
        <v>0</v>
      </c>
      <c r="H126" s="48">
        <v>8</v>
      </c>
      <c r="I126" s="35">
        <f t="shared" si="2"/>
        <v>0</v>
      </c>
      <c r="J126" s="46">
        <f t="shared" si="4"/>
        <v>500</v>
      </c>
      <c r="K126" s="46">
        <v>5000</v>
      </c>
    </row>
    <row r="127" spans="1:11" x14ac:dyDescent="0.3">
      <c r="A127" s="46" t="s">
        <v>215</v>
      </c>
      <c r="B127" s="46"/>
      <c r="C127" s="46">
        <v>1000</v>
      </c>
      <c r="D127" s="47">
        <f t="shared" si="5"/>
        <v>1000</v>
      </c>
      <c r="E127" s="46">
        <v>1000</v>
      </c>
      <c r="F127" s="46"/>
      <c r="G127" s="47">
        <f t="shared" si="1"/>
        <v>0</v>
      </c>
      <c r="H127" s="48">
        <v>8</v>
      </c>
      <c r="I127" s="35">
        <f t="shared" si="2"/>
        <v>0</v>
      </c>
      <c r="J127" s="46">
        <f t="shared" si="4"/>
        <v>500</v>
      </c>
      <c r="K127" s="46">
        <v>5000</v>
      </c>
    </row>
    <row r="128" spans="1:11" x14ac:dyDescent="0.3">
      <c r="A128" s="46" t="s">
        <v>216</v>
      </c>
      <c r="B128" s="46">
        <v>30</v>
      </c>
      <c r="C128" s="46"/>
      <c r="D128" s="47">
        <f t="shared" si="5"/>
        <v>30</v>
      </c>
      <c r="E128" s="46"/>
      <c r="F128" s="46"/>
      <c r="G128" s="47">
        <f t="shared" si="1"/>
        <v>30</v>
      </c>
      <c r="H128" s="48">
        <v>800</v>
      </c>
      <c r="I128" s="35">
        <f t="shared" si="2"/>
        <v>24000</v>
      </c>
      <c r="J128" s="46">
        <f t="shared" si="4"/>
        <v>500</v>
      </c>
      <c r="K128" s="46">
        <v>5000</v>
      </c>
    </row>
    <row r="129" spans="1:11" x14ac:dyDescent="0.3">
      <c r="A129" s="46" t="s">
        <v>217</v>
      </c>
      <c r="B129" s="46">
        <v>30</v>
      </c>
      <c r="C129" s="46"/>
      <c r="D129" s="47">
        <f t="shared" si="5"/>
        <v>30</v>
      </c>
      <c r="E129" s="46">
        <v>27</v>
      </c>
      <c r="F129" s="46"/>
      <c r="G129" s="47">
        <f t="shared" si="1"/>
        <v>3</v>
      </c>
      <c r="H129" s="48">
        <v>2000</v>
      </c>
      <c r="I129" s="35">
        <f t="shared" si="2"/>
        <v>6000</v>
      </c>
      <c r="J129" s="46">
        <f t="shared" si="4"/>
        <v>200</v>
      </c>
      <c r="K129" s="46">
        <v>2000</v>
      </c>
    </row>
    <row r="130" spans="1:11" x14ac:dyDescent="0.3">
      <c r="A130" s="46" t="s">
        <v>218</v>
      </c>
      <c r="B130" s="46"/>
      <c r="C130" s="46"/>
      <c r="D130" s="47">
        <f t="shared" si="5"/>
        <v>0</v>
      </c>
      <c r="E130" s="46"/>
      <c r="F130" s="46"/>
      <c r="G130" s="47">
        <f t="shared" si="1"/>
        <v>0</v>
      </c>
      <c r="H130" s="48"/>
      <c r="I130" s="35">
        <f t="shared" si="2"/>
        <v>0</v>
      </c>
      <c r="J130" s="46">
        <f t="shared" si="4"/>
        <v>50</v>
      </c>
      <c r="K130" s="46">
        <v>500</v>
      </c>
    </row>
    <row r="131" spans="1:11" x14ac:dyDescent="0.3">
      <c r="A131" s="46" t="s">
        <v>219</v>
      </c>
      <c r="B131" s="46"/>
      <c r="C131" s="46"/>
      <c r="D131" s="47">
        <f t="shared" si="5"/>
        <v>0</v>
      </c>
      <c r="E131" s="46"/>
      <c r="F131" s="46"/>
      <c r="G131" s="47">
        <f t="shared" si="1"/>
        <v>0</v>
      </c>
      <c r="H131" s="48">
        <v>50</v>
      </c>
      <c r="I131" s="35">
        <f t="shared" si="2"/>
        <v>0</v>
      </c>
      <c r="J131" s="46">
        <f t="shared" si="4"/>
        <v>20</v>
      </c>
      <c r="K131" s="46">
        <v>200</v>
      </c>
    </row>
    <row r="132" spans="1:11" x14ac:dyDescent="0.3">
      <c r="A132" s="46" t="s">
        <v>220</v>
      </c>
      <c r="B132" s="46"/>
      <c r="C132" s="46"/>
      <c r="D132" s="47">
        <f t="shared" si="5"/>
        <v>0</v>
      </c>
      <c r="E132" s="46"/>
      <c r="F132" s="46"/>
      <c r="G132" s="47">
        <f t="shared" si="1"/>
        <v>0</v>
      </c>
      <c r="H132" s="48">
        <v>2200</v>
      </c>
      <c r="I132" s="35">
        <f t="shared" si="2"/>
        <v>0</v>
      </c>
      <c r="J132" s="46">
        <f t="shared" si="4"/>
        <v>10</v>
      </c>
      <c r="K132" s="46">
        <v>100</v>
      </c>
    </row>
    <row r="133" spans="1:11" x14ac:dyDescent="0.3">
      <c r="A133" s="46" t="s">
        <v>221</v>
      </c>
      <c r="B133" s="46">
        <v>10</v>
      </c>
      <c r="C133" s="46">
        <v>20</v>
      </c>
      <c r="D133" s="47">
        <f t="shared" si="5"/>
        <v>30</v>
      </c>
      <c r="E133" s="46">
        <v>21</v>
      </c>
      <c r="F133" s="46"/>
      <c r="G133" s="47">
        <f t="shared" ref="G133:G225" si="6">D133-E133-F133</f>
        <v>9</v>
      </c>
      <c r="H133" s="48">
        <v>600</v>
      </c>
      <c r="I133" s="35">
        <f t="shared" si="2"/>
        <v>5400</v>
      </c>
      <c r="J133" s="46">
        <f t="shared" si="4"/>
        <v>10</v>
      </c>
      <c r="K133" s="46">
        <v>100</v>
      </c>
    </row>
    <row r="134" spans="1:11" x14ac:dyDescent="0.3">
      <c r="A134" s="46" t="s">
        <v>222</v>
      </c>
      <c r="B134" s="46">
        <v>1</v>
      </c>
      <c r="C134" s="46">
        <v>20</v>
      </c>
      <c r="D134" s="47">
        <f t="shared" si="5"/>
        <v>21</v>
      </c>
      <c r="E134" s="46">
        <v>16</v>
      </c>
      <c r="F134" s="46"/>
      <c r="G134" s="47">
        <f t="shared" si="6"/>
        <v>5</v>
      </c>
      <c r="H134" s="49">
        <v>750</v>
      </c>
      <c r="I134" s="35">
        <f t="shared" si="2"/>
        <v>3750</v>
      </c>
      <c r="J134" s="46">
        <f t="shared" si="4"/>
        <v>50</v>
      </c>
      <c r="K134" s="46">
        <v>500</v>
      </c>
    </row>
    <row r="135" spans="1:11" x14ac:dyDescent="0.3">
      <c r="A135" s="46" t="s">
        <v>223</v>
      </c>
      <c r="B135" s="46"/>
      <c r="C135" s="46"/>
      <c r="D135" s="47">
        <f t="shared" si="5"/>
        <v>0</v>
      </c>
      <c r="E135" s="46"/>
      <c r="F135" s="46"/>
      <c r="G135" s="47">
        <f t="shared" si="6"/>
        <v>0</v>
      </c>
      <c r="H135" s="48">
        <v>500</v>
      </c>
      <c r="I135" s="35">
        <f t="shared" ref="I135:I199" si="7">G135*H135</f>
        <v>0</v>
      </c>
      <c r="J135" s="46">
        <f t="shared" si="4"/>
        <v>10</v>
      </c>
      <c r="K135" s="46">
        <v>100</v>
      </c>
    </row>
    <row r="136" spans="1:11" x14ac:dyDescent="0.3">
      <c r="A136" s="46" t="s">
        <v>224</v>
      </c>
      <c r="B136" s="46">
        <v>3</v>
      </c>
      <c r="C136" s="46">
        <v>20</v>
      </c>
      <c r="D136" s="47">
        <f t="shared" si="5"/>
        <v>23</v>
      </c>
      <c r="E136" s="46">
        <v>17</v>
      </c>
      <c r="F136" s="46"/>
      <c r="G136" s="47">
        <f t="shared" si="6"/>
        <v>6</v>
      </c>
      <c r="H136" s="48">
        <v>900</v>
      </c>
      <c r="I136" s="35">
        <f t="shared" si="7"/>
        <v>5400</v>
      </c>
      <c r="J136" s="46">
        <f t="shared" si="4"/>
        <v>100</v>
      </c>
      <c r="K136" s="46">
        <v>1000</v>
      </c>
    </row>
    <row r="137" spans="1:11" x14ac:dyDescent="0.3">
      <c r="A137" s="46" t="s">
        <v>225</v>
      </c>
      <c r="B137" s="46"/>
      <c r="C137" s="46"/>
      <c r="D137" s="47">
        <f t="shared" si="5"/>
        <v>0</v>
      </c>
      <c r="E137" s="46"/>
      <c r="F137" s="46"/>
      <c r="G137" s="47">
        <f t="shared" si="6"/>
        <v>0</v>
      </c>
      <c r="H137" s="49">
        <v>150</v>
      </c>
      <c r="I137" s="35">
        <f t="shared" si="7"/>
        <v>0</v>
      </c>
      <c r="J137" s="46">
        <f t="shared" si="4"/>
        <v>50</v>
      </c>
      <c r="K137" s="46">
        <v>500</v>
      </c>
    </row>
    <row r="138" spans="1:11" x14ac:dyDescent="0.3">
      <c r="A138" s="46" t="s">
        <v>226</v>
      </c>
      <c r="B138" s="46">
        <v>16</v>
      </c>
      <c r="C138" s="46">
        <v>20</v>
      </c>
      <c r="D138" s="47">
        <f t="shared" si="5"/>
        <v>36</v>
      </c>
      <c r="E138" s="46">
        <v>28</v>
      </c>
      <c r="F138" s="46"/>
      <c r="G138" s="47">
        <f t="shared" si="6"/>
        <v>8</v>
      </c>
      <c r="H138" s="49">
        <v>650</v>
      </c>
      <c r="I138" s="35">
        <f t="shared" si="7"/>
        <v>5200</v>
      </c>
      <c r="J138" s="46">
        <f t="shared" si="4"/>
        <v>50</v>
      </c>
      <c r="K138" s="46">
        <v>500</v>
      </c>
    </row>
    <row r="139" spans="1:11" x14ac:dyDescent="0.3">
      <c r="A139" s="46" t="s">
        <v>227</v>
      </c>
      <c r="B139" s="46">
        <v>4</v>
      </c>
      <c r="C139" s="46"/>
      <c r="D139" s="47">
        <f t="shared" si="5"/>
        <v>4</v>
      </c>
      <c r="E139" s="46">
        <v>4</v>
      </c>
      <c r="F139" s="46"/>
      <c r="G139" s="47">
        <f t="shared" si="6"/>
        <v>0</v>
      </c>
      <c r="H139" s="49">
        <v>800</v>
      </c>
      <c r="I139" s="35">
        <f t="shared" si="7"/>
        <v>0</v>
      </c>
      <c r="J139" s="46">
        <f t="shared" si="4"/>
        <v>50</v>
      </c>
      <c r="K139" s="46">
        <v>500</v>
      </c>
    </row>
    <row r="140" spans="1:11" x14ac:dyDescent="0.3">
      <c r="A140" s="46" t="s">
        <v>141</v>
      </c>
      <c r="B140" s="46"/>
      <c r="C140" s="46"/>
      <c r="D140" s="47">
        <f t="shared" si="5"/>
        <v>0</v>
      </c>
      <c r="E140" s="46"/>
      <c r="F140" s="46"/>
      <c r="G140" s="47">
        <f t="shared" si="6"/>
        <v>0</v>
      </c>
      <c r="H140" s="49">
        <v>400</v>
      </c>
      <c r="I140" s="35">
        <f t="shared" si="7"/>
        <v>0</v>
      </c>
      <c r="J140" s="46">
        <f t="shared" si="4"/>
        <v>10</v>
      </c>
      <c r="K140" s="46">
        <v>100</v>
      </c>
    </row>
    <row r="141" spans="1:11" x14ac:dyDescent="0.3">
      <c r="A141" s="46" t="s">
        <v>228</v>
      </c>
      <c r="B141" s="46">
        <v>3</v>
      </c>
      <c r="C141" s="46">
        <v>10</v>
      </c>
      <c r="D141" s="47">
        <f t="shared" si="5"/>
        <v>13</v>
      </c>
      <c r="E141" s="46">
        <v>10</v>
      </c>
      <c r="F141" s="46"/>
      <c r="G141" s="47">
        <f t="shared" si="6"/>
        <v>3</v>
      </c>
      <c r="H141" s="48">
        <v>1900</v>
      </c>
      <c r="I141" s="35">
        <f t="shared" si="7"/>
        <v>5700</v>
      </c>
      <c r="J141" s="46">
        <f t="shared" si="4"/>
        <v>0</v>
      </c>
      <c r="K141" s="46"/>
    </row>
    <row r="142" spans="1:11" x14ac:dyDescent="0.3">
      <c r="A142" s="46" t="s">
        <v>229</v>
      </c>
      <c r="B142" s="46"/>
      <c r="C142" s="46"/>
      <c r="D142" s="47">
        <f t="shared" si="5"/>
        <v>0</v>
      </c>
      <c r="E142" s="46"/>
      <c r="F142" s="46"/>
      <c r="G142" s="47">
        <f t="shared" si="6"/>
        <v>0</v>
      </c>
      <c r="H142" s="48">
        <v>1400</v>
      </c>
      <c r="I142" s="35">
        <f t="shared" si="7"/>
        <v>0</v>
      </c>
      <c r="J142" s="46">
        <f t="shared" si="4"/>
        <v>5</v>
      </c>
      <c r="K142" s="46">
        <v>50</v>
      </c>
    </row>
    <row r="143" spans="1:11" x14ac:dyDescent="0.3">
      <c r="A143" s="46" t="s">
        <v>230</v>
      </c>
      <c r="B143" s="46"/>
      <c r="C143" s="46"/>
      <c r="D143" s="47">
        <f t="shared" si="5"/>
        <v>0</v>
      </c>
      <c r="E143" s="46"/>
      <c r="F143" s="46"/>
      <c r="G143" s="47">
        <f t="shared" si="6"/>
        <v>0</v>
      </c>
      <c r="H143" s="48"/>
      <c r="I143" s="35">
        <f t="shared" si="7"/>
        <v>0</v>
      </c>
      <c r="J143" s="46">
        <f t="shared" si="4"/>
        <v>5</v>
      </c>
      <c r="K143" s="46">
        <v>50</v>
      </c>
    </row>
    <row r="144" spans="1:11" x14ac:dyDescent="0.3">
      <c r="A144" s="46" t="s">
        <v>231</v>
      </c>
      <c r="B144" s="46"/>
      <c r="C144" s="46"/>
      <c r="D144" s="47">
        <f t="shared" si="5"/>
        <v>0</v>
      </c>
      <c r="E144" s="46"/>
      <c r="F144" s="46"/>
      <c r="G144" s="47">
        <f t="shared" si="6"/>
        <v>0</v>
      </c>
      <c r="H144" s="48">
        <v>2000</v>
      </c>
      <c r="I144" s="35">
        <f t="shared" si="7"/>
        <v>0</v>
      </c>
      <c r="J144" s="46">
        <f t="shared" si="4"/>
        <v>0</v>
      </c>
      <c r="K144" s="46"/>
    </row>
    <row r="145" spans="1:11" x14ac:dyDescent="0.3">
      <c r="A145" s="46" t="s">
        <v>232</v>
      </c>
      <c r="B145" s="46">
        <v>10</v>
      </c>
      <c r="C145" s="46"/>
      <c r="D145" s="47">
        <f t="shared" si="5"/>
        <v>10</v>
      </c>
      <c r="E145" s="46">
        <v>8</v>
      </c>
      <c r="F145" s="46"/>
      <c r="G145" s="47">
        <f t="shared" si="6"/>
        <v>2</v>
      </c>
      <c r="H145" s="48">
        <v>300</v>
      </c>
      <c r="I145" s="35">
        <f t="shared" si="7"/>
        <v>600</v>
      </c>
      <c r="J145" s="46">
        <f t="shared" si="4"/>
        <v>0</v>
      </c>
      <c r="K145" s="46"/>
    </row>
    <row r="146" spans="1:11" x14ac:dyDescent="0.3">
      <c r="A146" s="46" t="s">
        <v>233</v>
      </c>
      <c r="B146" s="46"/>
      <c r="C146" s="46"/>
      <c r="D146" s="47">
        <f t="shared" si="5"/>
        <v>0</v>
      </c>
      <c r="E146" s="46"/>
      <c r="F146" s="46"/>
      <c r="G146" s="47">
        <f t="shared" si="6"/>
        <v>0</v>
      </c>
      <c r="H146" s="48"/>
      <c r="I146" s="35">
        <f t="shared" si="7"/>
        <v>0</v>
      </c>
      <c r="J146" s="46">
        <f t="shared" si="4"/>
        <v>2</v>
      </c>
      <c r="K146" s="46">
        <v>20</v>
      </c>
    </row>
    <row r="147" spans="1:11" x14ac:dyDescent="0.3">
      <c r="A147" s="46" t="s">
        <v>234</v>
      </c>
      <c r="B147" s="46"/>
      <c r="C147" s="46"/>
      <c r="D147" s="47">
        <f t="shared" si="5"/>
        <v>0</v>
      </c>
      <c r="E147" s="46"/>
      <c r="F147" s="46"/>
      <c r="G147" s="47">
        <f t="shared" si="6"/>
        <v>0</v>
      </c>
      <c r="H147" s="48">
        <v>16</v>
      </c>
      <c r="I147" s="35">
        <f t="shared" si="7"/>
        <v>0</v>
      </c>
      <c r="J147" s="46">
        <f t="shared" si="4"/>
        <v>0</v>
      </c>
      <c r="K147" s="46"/>
    </row>
    <row r="148" spans="1:11" x14ac:dyDescent="0.3">
      <c r="A148" s="46" t="s">
        <v>235</v>
      </c>
      <c r="B148" s="46"/>
      <c r="C148" s="46"/>
      <c r="D148" s="47">
        <f t="shared" si="5"/>
        <v>0</v>
      </c>
      <c r="E148" s="46"/>
      <c r="F148" s="46"/>
      <c r="G148" s="47">
        <f t="shared" si="6"/>
        <v>0</v>
      </c>
      <c r="H148" s="48">
        <v>1000</v>
      </c>
      <c r="I148" s="35">
        <f t="shared" si="7"/>
        <v>0</v>
      </c>
      <c r="J148" s="46">
        <f t="shared" si="4"/>
        <v>0</v>
      </c>
      <c r="K148" s="46"/>
    </row>
    <row r="149" spans="1:11" x14ac:dyDescent="0.3">
      <c r="A149" s="46" t="s">
        <v>236</v>
      </c>
      <c r="B149" s="46"/>
      <c r="C149" s="46"/>
      <c r="D149" s="47">
        <f t="shared" si="5"/>
        <v>0</v>
      </c>
      <c r="E149" s="46"/>
      <c r="F149" s="46"/>
      <c r="G149" s="47">
        <f t="shared" si="6"/>
        <v>0</v>
      </c>
      <c r="H149" s="48">
        <v>500</v>
      </c>
      <c r="I149" s="35">
        <f t="shared" si="7"/>
        <v>0</v>
      </c>
      <c r="J149" s="46">
        <f t="shared" si="4"/>
        <v>0</v>
      </c>
      <c r="K149" s="46"/>
    </row>
    <row r="150" spans="1:11" x14ac:dyDescent="0.3">
      <c r="A150" s="46" t="s">
        <v>237</v>
      </c>
      <c r="B150" s="46"/>
      <c r="C150" s="46">
        <v>20</v>
      </c>
      <c r="D150" s="47">
        <f t="shared" si="5"/>
        <v>20</v>
      </c>
      <c r="E150" s="46">
        <v>14</v>
      </c>
      <c r="F150" s="46"/>
      <c r="G150" s="47">
        <f t="shared" si="6"/>
        <v>6</v>
      </c>
      <c r="H150" s="48">
        <v>400</v>
      </c>
      <c r="I150" s="35">
        <f t="shared" si="7"/>
        <v>2400</v>
      </c>
      <c r="J150" s="46">
        <f t="shared" si="4"/>
        <v>0</v>
      </c>
      <c r="K150" s="46"/>
    </row>
    <row r="151" spans="1:11" x14ac:dyDescent="0.3">
      <c r="A151" s="46" t="s">
        <v>238</v>
      </c>
      <c r="B151" s="46"/>
      <c r="C151" s="46"/>
      <c r="D151" s="47">
        <f t="shared" si="5"/>
        <v>0</v>
      </c>
      <c r="E151" s="46"/>
      <c r="F151" s="46"/>
      <c r="G151" s="47">
        <f t="shared" si="6"/>
        <v>0</v>
      </c>
      <c r="H151" s="48"/>
      <c r="I151" s="35">
        <f t="shared" si="7"/>
        <v>0</v>
      </c>
      <c r="J151" s="46">
        <f t="shared" si="4"/>
        <v>30</v>
      </c>
      <c r="K151" s="46">
        <v>300</v>
      </c>
    </row>
    <row r="152" spans="1:11" x14ac:dyDescent="0.3">
      <c r="A152" s="46" t="s">
        <v>239</v>
      </c>
      <c r="B152" s="46"/>
      <c r="C152" s="46"/>
      <c r="D152" s="47">
        <f t="shared" si="5"/>
        <v>0</v>
      </c>
      <c r="E152" s="46"/>
      <c r="F152" s="46"/>
      <c r="G152" s="47">
        <f t="shared" si="6"/>
        <v>0</v>
      </c>
      <c r="H152" s="48">
        <v>750</v>
      </c>
      <c r="I152" s="35">
        <f t="shared" si="7"/>
        <v>0</v>
      </c>
      <c r="J152" s="46">
        <f t="shared" si="4"/>
        <v>0</v>
      </c>
      <c r="K152" s="46"/>
    </row>
    <row r="153" spans="1:11" x14ac:dyDescent="0.3">
      <c r="A153" s="46" t="s">
        <v>240</v>
      </c>
      <c r="B153" s="46"/>
      <c r="C153" s="46"/>
      <c r="D153" s="47">
        <f t="shared" si="5"/>
        <v>0</v>
      </c>
      <c r="E153" s="46"/>
      <c r="F153" s="46"/>
      <c r="G153" s="47">
        <f t="shared" si="6"/>
        <v>0</v>
      </c>
      <c r="H153" s="48">
        <v>360</v>
      </c>
      <c r="I153" s="35">
        <f t="shared" si="7"/>
        <v>0</v>
      </c>
      <c r="J153" s="46">
        <f t="shared" ref="J153:J216" si="8">K153/10</f>
        <v>5</v>
      </c>
      <c r="K153" s="46">
        <v>50</v>
      </c>
    </row>
    <row r="154" spans="1:11" x14ac:dyDescent="0.3">
      <c r="A154" s="46" t="s">
        <v>241</v>
      </c>
      <c r="B154" s="46">
        <v>8</v>
      </c>
      <c r="C154" s="46"/>
      <c r="D154" s="47">
        <f t="shared" si="5"/>
        <v>8</v>
      </c>
      <c r="E154" s="46"/>
      <c r="F154" s="46"/>
      <c r="G154" s="47">
        <f t="shared" si="6"/>
        <v>8</v>
      </c>
      <c r="H154" s="48">
        <v>1000</v>
      </c>
      <c r="I154" s="35">
        <f t="shared" si="7"/>
        <v>8000</v>
      </c>
      <c r="J154" s="46">
        <f t="shared" si="8"/>
        <v>20</v>
      </c>
      <c r="K154" s="46">
        <v>200</v>
      </c>
    </row>
    <row r="155" spans="1:11" x14ac:dyDescent="0.3">
      <c r="A155" s="46" t="s">
        <v>242</v>
      </c>
      <c r="B155" s="46">
        <v>200</v>
      </c>
      <c r="C155" s="46">
        <v>1000</v>
      </c>
      <c r="D155" s="47">
        <f t="shared" si="5"/>
        <v>1200</v>
      </c>
      <c r="E155" s="46">
        <v>200</v>
      </c>
      <c r="F155" s="46"/>
      <c r="G155" s="47">
        <v>150</v>
      </c>
      <c r="H155" s="48">
        <v>10</v>
      </c>
      <c r="I155" s="35">
        <f t="shared" si="7"/>
        <v>1500</v>
      </c>
      <c r="J155" s="46">
        <f t="shared" si="8"/>
        <v>5</v>
      </c>
      <c r="K155" s="46">
        <v>50</v>
      </c>
    </row>
    <row r="156" spans="1:11" x14ac:dyDescent="0.3">
      <c r="A156" s="46" t="s">
        <v>243</v>
      </c>
      <c r="B156" s="46"/>
      <c r="C156" s="46"/>
      <c r="D156" s="47">
        <f t="shared" si="5"/>
        <v>0</v>
      </c>
      <c r="E156" s="46"/>
      <c r="F156" s="46"/>
      <c r="G156" s="47">
        <f t="shared" si="6"/>
        <v>0</v>
      </c>
      <c r="H156" s="48">
        <v>1500</v>
      </c>
      <c r="I156" s="35">
        <f t="shared" si="7"/>
        <v>0</v>
      </c>
      <c r="J156" s="46">
        <f t="shared" si="8"/>
        <v>100</v>
      </c>
      <c r="K156" s="46">
        <v>1000</v>
      </c>
    </row>
    <row r="157" spans="1:11" x14ac:dyDescent="0.3">
      <c r="A157" s="46" t="s">
        <v>244</v>
      </c>
      <c r="B157" s="46">
        <v>10</v>
      </c>
      <c r="C157" s="46"/>
      <c r="D157" s="47">
        <f t="shared" si="5"/>
        <v>10</v>
      </c>
      <c r="E157" s="46">
        <v>7</v>
      </c>
      <c r="F157" s="46"/>
      <c r="G157" s="47">
        <f t="shared" si="6"/>
        <v>3</v>
      </c>
      <c r="H157" s="48">
        <v>500</v>
      </c>
      <c r="I157" s="35">
        <f t="shared" si="7"/>
        <v>1500</v>
      </c>
      <c r="J157" s="46">
        <f t="shared" si="8"/>
        <v>5</v>
      </c>
      <c r="K157" s="46">
        <v>50</v>
      </c>
    </row>
    <row r="158" spans="1:11" x14ac:dyDescent="0.3">
      <c r="A158" s="46" t="s">
        <v>245</v>
      </c>
      <c r="B158" s="46"/>
      <c r="C158" s="46"/>
      <c r="D158" s="47">
        <f t="shared" si="5"/>
        <v>0</v>
      </c>
      <c r="E158" s="46"/>
      <c r="F158" s="46"/>
      <c r="G158" s="47">
        <f t="shared" si="6"/>
        <v>0</v>
      </c>
      <c r="H158" s="48">
        <v>250</v>
      </c>
      <c r="I158" s="35">
        <f t="shared" si="7"/>
        <v>0</v>
      </c>
      <c r="J158" s="46">
        <f t="shared" si="8"/>
        <v>5</v>
      </c>
      <c r="K158" s="46">
        <v>50</v>
      </c>
    </row>
    <row r="159" spans="1:11" x14ac:dyDescent="0.3">
      <c r="A159" s="46" t="s">
        <v>246</v>
      </c>
      <c r="B159" s="46"/>
      <c r="C159" s="46"/>
      <c r="D159" s="47">
        <f t="shared" si="5"/>
        <v>0</v>
      </c>
      <c r="E159" s="46"/>
      <c r="F159" s="46"/>
      <c r="G159" s="47">
        <f t="shared" si="6"/>
        <v>0</v>
      </c>
      <c r="H159" s="48">
        <v>1200</v>
      </c>
      <c r="I159" s="35">
        <f t="shared" si="7"/>
        <v>0</v>
      </c>
      <c r="J159" s="46">
        <f t="shared" si="8"/>
        <v>5</v>
      </c>
      <c r="K159" s="46">
        <v>50</v>
      </c>
    </row>
    <row r="160" spans="1:11" x14ac:dyDescent="0.3">
      <c r="A160" s="46" t="s">
        <v>247</v>
      </c>
      <c r="B160" s="46">
        <v>10</v>
      </c>
      <c r="C160" s="46"/>
      <c r="D160" s="47">
        <f t="shared" si="5"/>
        <v>10</v>
      </c>
      <c r="E160" s="46">
        <v>7</v>
      </c>
      <c r="F160" s="46"/>
      <c r="G160" s="47">
        <f t="shared" si="6"/>
        <v>3</v>
      </c>
      <c r="H160" s="48">
        <v>230</v>
      </c>
      <c r="I160" s="35">
        <f t="shared" si="7"/>
        <v>690</v>
      </c>
      <c r="J160" s="46">
        <f t="shared" si="8"/>
        <v>5</v>
      </c>
      <c r="K160" s="46">
        <v>50</v>
      </c>
    </row>
    <row r="161" spans="1:11" x14ac:dyDescent="0.3">
      <c r="A161" s="46" t="s">
        <v>248</v>
      </c>
      <c r="B161" s="46"/>
      <c r="C161" s="46"/>
      <c r="D161" s="47">
        <f t="shared" si="5"/>
        <v>0</v>
      </c>
      <c r="E161" s="46"/>
      <c r="F161" s="46"/>
      <c r="G161" s="47">
        <f t="shared" si="6"/>
        <v>0</v>
      </c>
      <c r="H161" s="48">
        <v>25</v>
      </c>
      <c r="I161" s="35">
        <f t="shared" si="7"/>
        <v>0</v>
      </c>
      <c r="J161" s="46">
        <f t="shared" si="8"/>
        <v>2</v>
      </c>
      <c r="K161" s="46">
        <v>20</v>
      </c>
    </row>
    <row r="162" spans="1:11" x14ac:dyDescent="0.3">
      <c r="A162" s="46"/>
      <c r="B162" s="46"/>
      <c r="C162" s="46"/>
      <c r="D162" s="47"/>
      <c r="E162" s="46"/>
      <c r="F162" s="46"/>
      <c r="G162" s="47"/>
      <c r="H162" s="48"/>
      <c r="I162" s="35">
        <f t="shared" si="7"/>
        <v>0</v>
      </c>
      <c r="J162" s="46">
        <f t="shared" si="8"/>
        <v>0</v>
      </c>
      <c r="K162" s="46"/>
    </row>
    <row r="163" spans="1:11" x14ac:dyDescent="0.3">
      <c r="A163" s="42" t="s">
        <v>249</v>
      </c>
      <c r="B163" s="46"/>
      <c r="C163" s="46"/>
      <c r="D163" s="47">
        <f t="shared" si="5"/>
        <v>0</v>
      </c>
      <c r="E163" s="46"/>
      <c r="F163" s="46"/>
      <c r="G163" s="47">
        <f t="shared" si="6"/>
        <v>0</v>
      </c>
      <c r="H163" s="48"/>
      <c r="I163" s="35">
        <f t="shared" si="7"/>
        <v>0</v>
      </c>
      <c r="J163" s="46">
        <f t="shared" si="8"/>
        <v>0</v>
      </c>
      <c r="K163" s="46"/>
    </row>
    <row r="164" spans="1:11" x14ac:dyDescent="0.3">
      <c r="A164" s="46" t="s">
        <v>250</v>
      </c>
      <c r="B164" s="46">
        <v>10</v>
      </c>
      <c r="C164" s="46"/>
      <c r="D164" s="47">
        <f t="shared" si="5"/>
        <v>10</v>
      </c>
      <c r="E164" s="46">
        <v>7</v>
      </c>
      <c r="F164" s="46"/>
      <c r="G164" s="47">
        <f t="shared" si="6"/>
        <v>3</v>
      </c>
      <c r="H164" s="48">
        <v>500</v>
      </c>
      <c r="I164" s="35">
        <f t="shared" si="7"/>
        <v>1500</v>
      </c>
      <c r="J164" s="46">
        <f t="shared" si="8"/>
        <v>0</v>
      </c>
      <c r="K164" s="46"/>
    </row>
    <row r="165" spans="1:11" x14ac:dyDescent="0.3">
      <c r="A165" s="46" t="s">
        <v>251</v>
      </c>
      <c r="B165" s="46">
        <v>5</v>
      </c>
      <c r="C165" s="46">
        <v>10</v>
      </c>
      <c r="D165" s="47">
        <f t="shared" si="5"/>
        <v>15</v>
      </c>
      <c r="E165" s="46">
        <v>13</v>
      </c>
      <c r="F165" s="46"/>
      <c r="G165" s="47">
        <f t="shared" si="6"/>
        <v>2</v>
      </c>
      <c r="H165" s="48">
        <v>100</v>
      </c>
      <c r="I165" s="35">
        <f t="shared" si="7"/>
        <v>200</v>
      </c>
      <c r="J165" s="46">
        <f t="shared" si="8"/>
        <v>0</v>
      </c>
      <c r="K165" s="46"/>
    </row>
    <row r="166" spans="1:11" x14ac:dyDescent="0.3">
      <c r="A166" s="46" t="s">
        <v>252</v>
      </c>
      <c r="B166" s="46">
        <v>7</v>
      </c>
      <c r="C166" s="46"/>
      <c r="D166" s="47">
        <f t="shared" si="5"/>
        <v>7</v>
      </c>
      <c r="E166" s="46">
        <v>5</v>
      </c>
      <c r="F166" s="46"/>
      <c r="G166" s="47">
        <f t="shared" si="6"/>
        <v>2</v>
      </c>
      <c r="H166" s="48">
        <v>200</v>
      </c>
      <c r="I166" s="35">
        <f t="shared" si="7"/>
        <v>400</v>
      </c>
      <c r="J166" s="46">
        <f t="shared" si="8"/>
        <v>5</v>
      </c>
      <c r="K166" s="46">
        <v>50</v>
      </c>
    </row>
    <row r="167" spans="1:11" x14ac:dyDescent="0.3">
      <c r="A167" s="46" t="s">
        <v>253</v>
      </c>
      <c r="B167" s="46"/>
      <c r="C167" s="46"/>
      <c r="D167" s="47">
        <f t="shared" si="5"/>
        <v>0</v>
      </c>
      <c r="E167" s="46"/>
      <c r="F167" s="46"/>
      <c r="G167" s="47">
        <f t="shared" si="6"/>
        <v>0</v>
      </c>
      <c r="H167" s="48">
        <v>900</v>
      </c>
      <c r="I167" s="35">
        <f t="shared" si="7"/>
        <v>0</v>
      </c>
      <c r="J167" s="46">
        <f t="shared" si="8"/>
        <v>3</v>
      </c>
      <c r="K167" s="46">
        <v>30</v>
      </c>
    </row>
    <row r="168" spans="1:11" x14ac:dyDescent="0.3">
      <c r="A168" s="46" t="s">
        <v>254</v>
      </c>
      <c r="B168" s="46"/>
      <c r="C168" s="46"/>
      <c r="D168" s="47">
        <f t="shared" si="5"/>
        <v>0</v>
      </c>
      <c r="E168" s="46"/>
      <c r="F168" s="46"/>
      <c r="G168" s="47">
        <f t="shared" si="6"/>
        <v>0</v>
      </c>
      <c r="H168" s="48">
        <v>45</v>
      </c>
      <c r="I168" s="35">
        <f t="shared" si="7"/>
        <v>0</v>
      </c>
      <c r="J168" s="46">
        <f t="shared" si="8"/>
        <v>5</v>
      </c>
      <c r="K168" s="46">
        <v>50</v>
      </c>
    </row>
    <row r="169" spans="1:11" x14ac:dyDescent="0.3">
      <c r="A169" s="46" t="s">
        <v>255</v>
      </c>
      <c r="B169" s="46"/>
      <c r="C169" s="46"/>
      <c r="D169" s="47">
        <f t="shared" si="5"/>
        <v>0</v>
      </c>
      <c r="E169" s="46"/>
      <c r="F169" s="46"/>
      <c r="G169" s="47">
        <f t="shared" si="6"/>
        <v>0</v>
      </c>
      <c r="H169" s="48"/>
      <c r="I169" s="35">
        <f t="shared" si="7"/>
        <v>0</v>
      </c>
      <c r="J169" s="46">
        <f t="shared" si="8"/>
        <v>5</v>
      </c>
      <c r="K169" s="46">
        <v>50</v>
      </c>
    </row>
    <row r="170" spans="1:11" x14ac:dyDescent="0.3">
      <c r="A170" s="46" t="s">
        <v>109</v>
      </c>
      <c r="B170" s="46">
        <v>5</v>
      </c>
      <c r="C170" s="46"/>
      <c r="D170" s="47">
        <f t="shared" si="5"/>
        <v>5</v>
      </c>
      <c r="E170" s="46">
        <v>4</v>
      </c>
      <c r="F170" s="46"/>
      <c r="G170" s="47">
        <f t="shared" si="6"/>
        <v>1</v>
      </c>
      <c r="H170" s="48">
        <v>850</v>
      </c>
      <c r="I170" s="35">
        <f t="shared" si="7"/>
        <v>850</v>
      </c>
      <c r="J170" s="46">
        <f t="shared" si="8"/>
        <v>2</v>
      </c>
      <c r="K170" s="46">
        <v>20</v>
      </c>
    </row>
    <row r="171" spans="1:11" x14ac:dyDescent="0.3">
      <c r="A171" s="46" t="s">
        <v>256</v>
      </c>
      <c r="B171" s="46">
        <v>5</v>
      </c>
      <c r="C171" s="46">
        <v>20</v>
      </c>
      <c r="D171" s="47">
        <f t="shared" si="5"/>
        <v>25</v>
      </c>
      <c r="E171" s="46">
        <v>19</v>
      </c>
      <c r="F171" s="46"/>
      <c r="G171" s="47">
        <f t="shared" si="6"/>
        <v>6</v>
      </c>
      <c r="H171" s="48">
        <v>400</v>
      </c>
      <c r="I171" s="35">
        <f t="shared" si="7"/>
        <v>2400</v>
      </c>
      <c r="J171" s="46">
        <f t="shared" si="8"/>
        <v>5</v>
      </c>
      <c r="K171" s="46">
        <v>50</v>
      </c>
    </row>
    <row r="172" spans="1:11" x14ac:dyDescent="0.3">
      <c r="A172" s="46" t="s">
        <v>257</v>
      </c>
      <c r="B172" s="46">
        <v>5</v>
      </c>
      <c r="C172" s="46">
        <v>10</v>
      </c>
      <c r="D172" s="47">
        <f t="shared" si="5"/>
        <v>15</v>
      </c>
      <c r="E172" s="46">
        <v>8</v>
      </c>
      <c r="F172" s="46"/>
      <c r="G172" s="47">
        <f t="shared" si="6"/>
        <v>7</v>
      </c>
      <c r="H172" s="48">
        <v>25</v>
      </c>
      <c r="I172" s="35">
        <f t="shared" si="7"/>
        <v>175</v>
      </c>
      <c r="J172" s="46">
        <f t="shared" si="8"/>
        <v>2</v>
      </c>
      <c r="K172" s="46">
        <v>20</v>
      </c>
    </row>
    <row r="173" spans="1:11" x14ac:dyDescent="0.3">
      <c r="A173" s="46" t="s">
        <v>258</v>
      </c>
      <c r="B173" s="46"/>
      <c r="C173" s="46">
        <v>10</v>
      </c>
      <c r="D173" s="47">
        <f t="shared" si="5"/>
        <v>10</v>
      </c>
      <c r="E173" s="46">
        <v>10</v>
      </c>
      <c r="F173" s="46"/>
      <c r="G173" s="47">
        <f t="shared" si="6"/>
        <v>0</v>
      </c>
      <c r="H173" s="48">
        <v>650</v>
      </c>
      <c r="I173" s="35">
        <f t="shared" si="7"/>
        <v>0</v>
      </c>
      <c r="J173" s="46">
        <f t="shared" si="8"/>
        <v>10</v>
      </c>
      <c r="K173" s="46">
        <v>100</v>
      </c>
    </row>
    <row r="174" spans="1:11" x14ac:dyDescent="0.3">
      <c r="A174" s="46" t="s">
        <v>259</v>
      </c>
      <c r="B174" s="46"/>
      <c r="C174" s="46"/>
      <c r="D174" s="47">
        <f t="shared" si="5"/>
        <v>0</v>
      </c>
      <c r="E174" s="46"/>
      <c r="F174" s="46"/>
      <c r="G174" s="47">
        <f t="shared" si="6"/>
        <v>0</v>
      </c>
      <c r="H174" s="48">
        <v>500</v>
      </c>
      <c r="I174" s="35">
        <f t="shared" si="7"/>
        <v>0</v>
      </c>
      <c r="J174" s="46">
        <f t="shared" si="8"/>
        <v>10</v>
      </c>
      <c r="K174" s="46">
        <v>100</v>
      </c>
    </row>
    <row r="175" spans="1:11" x14ac:dyDescent="0.3">
      <c r="A175" s="46"/>
      <c r="B175" s="46"/>
      <c r="C175" s="46"/>
      <c r="D175" s="47"/>
      <c r="E175" s="46"/>
      <c r="F175" s="46"/>
      <c r="G175" s="47"/>
      <c r="H175" s="48"/>
      <c r="I175" s="35"/>
      <c r="J175" s="46">
        <f t="shared" si="8"/>
        <v>2</v>
      </c>
      <c r="K175" s="46">
        <v>20</v>
      </c>
    </row>
    <row r="176" spans="1:11" x14ac:dyDescent="0.3">
      <c r="A176" s="42" t="s">
        <v>260</v>
      </c>
      <c r="B176" s="46"/>
      <c r="C176" s="46"/>
      <c r="D176" s="47">
        <f t="shared" ref="D176:D244" si="9">B176+C176</f>
        <v>0</v>
      </c>
      <c r="E176" s="46"/>
      <c r="F176" s="46"/>
      <c r="G176" s="47">
        <f t="shared" si="6"/>
        <v>0</v>
      </c>
      <c r="H176" s="48"/>
      <c r="I176" s="35">
        <f t="shared" si="7"/>
        <v>0</v>
      </c>
      <c r="J176" s="46">
        <f t="shared" si="8"/>
        <v>2</v>
      </c>
      <c r="K176" s="46">
        <v>20</v>
      </c>
    </row>
    <row r="177" spans="1:11" x14ac:dyDescent="0.3">
      <c r="A177" s="46" t="s">
        <v>261</v>
      </c>
      <c r="B177" s="46"/>
      <c r="C177" s="46">
        <v>50</v>
      </c>
      <c r="D177" s="47">
        <f t="shared" si="9"/>
        <v>50</v>
      </c>
      <c r="E177" s="46">
        <v>42</v>
      </c>
      <c r="F177" s="46"/>
      <c r="G177" s="47">
        <f t="shared" si="6"/>
        <v>8</v>
      </c>
      <c r="H177" s="48">
        <v>100</v>
      </c>
      <c r="I177" s="35">
        <f t="shared" si="7"/>
        <v>800</v>
      </c>
      <c r="J177" s="46"/>
      <c r="K177" s="46"/>
    </row>
    <row r="178" spans="1:11" x14ac:dyDescent="0.3">
      <c r="A178" s="46" t="s">
        <v>262</v>
      </c>
      <c r="B178" s="46">
        <v>8</v>
      </c>
      <c r="C178" s="46"/>
      <c r="D178" s="47">
        <f t="shared" si="9"/>
        <v>8</v>
      </c>
      <c r="E178" s="46">
        <v>6</v>
      </c>
      <c r="F178" s="46"/>
      <c r="G178" s="47">
        <f t="shared" si="6"/>
        <v>2</v>
      </c>
      <c r="H178" s="48">
        <v>800</v>
      </c>
      <c r="I178" s="35">
        <f t="shared" si="7"/>
        <v>1600</v>
      </c>
      <c r="J178" s="46">
        <f t="shared" si="8"/>
        <v>0</v>
      </c>
      <c r="K178" s="46"/>
    </row>
    <row r="179" spans="1:11" x14ac:dyDescent="0.3">
      <c r="A179" s="46" t="s">
        <v>263</v>
      </c>
      <c r="B179" s="46"/>
      <c r="C179" s="46"/>
      <c r="D179" s="47">
        <f t="shared" si="9"/>
        <v>0</v>
      </c>
      <c r="E179" s="46"/>
      <c r="F179" s="46"/>
      <c r="G179" s="47">
        <f t="shared" si="6"/>
        <v>0</v>
      </c>
      <c r="H179" s="48">
        <v>1000</v>
      </c>
      <c r="I179" s="35">
        <f t="shared" si="7"/>
        <v>0</v>
      </c>
      <c r="J179" s="46">
        <f t="shared" si="8"/>
        <v>50</v>
      </c>
      <c r="K179" s="46">
        <v>500</v>
      </c>
    </row>
    <row r="180" spans="1:11" x14ac:dyDescent="0.3">
      <c r="A180" s="46" t="s">
        <v>264</v>
      </c>
      <c r="B180" s="46">
        <v>40</v>
      </c>
      <c r="C180" s="46"/>
      <c r="D180" s="47">
        <f t="shared" si="9"/>
        <v>40</v>
      </c>
      <c r="E180" s="46">
        <v>35</v>
      </c>
      <c r="F180" s="46"/>
      <c r="G180" s="47">
        <f t="shared" si="6"/>
        <v>5</v>
      </c>
      <c r="H180" s="48">
        <v>120</v>
      </c>
      <c r="I180" s="35">
        <f t="shared" si="7"/>
        <v>600</v>
      </c>
      <c r="J180" s="46">
        <f t="shared" si="8"/>
        <v>50</v>
      </c>
      <c r="K180" s="46">
        <v>500</v>
      </c>
    </row>
    <row r="181" spans="1:11" x14ac:dyDescent="0.3">
      <c r="A181" s="46" t="s">
        <v>265</v>
      </c>
      <c r="B181" s="46">
        <v>1</v>
      </c>
      <c r="C181" s="46"/>
      <c r="D181" s="47">
        <f t="shared" si="9"/>
        <v>1</v>
      </c>
      <c r="E181" s="46">
        <v>1</v>
      </c>
      <c r="F181" s="46"/>
      <c r="G181" s="47">
        <f t="shared" si="6"/>
        <v>0</v>
      </c>
      <c r="H181" s="49">
        <v>400</v>
      </c>
      <c r="I181" s="35">
        <f t="shared" si="7"/>
        <v>0</v>
      </c>
      <c r="J181" s="46">
        <f t="shared" si="8"/>
        <v>1</v>
      </c>
      <c r="K181" s="46">
        <v>10</v>
      </c>
    </row>
    <row r="182" spans="1:11" x14ac:dyDescent="0.3">
      <c r="A182" s="46"/>
      <c r="B182" s="46"/>
      <c r="C182" s="46"/>
      <c r="D182" s="47">
        <f t="shared" si="9"/>
        <v>0</v>
      </c>
      <c r="E182" s="46"/>
      <c r="F182" s="46"/>
      <c r="G182" s="47">
        <f t="shared" si="6"/>
        <v>0</v>
      </c>
      <c r="H182" s="48">
        <v>300</v>
      </c>
      <c r="I182" s="35">
        <f t="shared" si="7"/>
        <v>0</v>
      </c>
      <c r="J182" s="46">
        <f t="shared" si="8"/>
        <v>10</v>
      </c>
      <c r="K182" s="46">
        <v>100</v>
      </c>
    </row>
    <row r="183" spans="1:11" x14ac:dyDescent="0.3">
      <c r="A183" s="46"/>
      <c r="B183" s="46"/>
      <c r="C183" s="46"/>
      <c r="D183" s="47">
        <f t="shared" si="9"/>
        <v>0</v>
      </c>
      <c r="E183" s="46"/>
      <c r="F183" s="46"/>
      <c r="G183" s="47">
        <f t="shared" si="6"/>
        <v>0</v>
      </c>
      <c r="H183" s="48"/>
      <c r="I183" s="35"/>
      <c r="J183" s="46">
        <f t="shared" si="8"/>
        <v>2</v>
      </c>
      <c r="K183" s="46">
        <v>20</v>
      </c>
    </row>
    <row r="184" spans="1:11" x14ac:dyDescent="0.3">
      <c r="A184" s="42" t="s">
        <v>266</v>
      </c>
      <c r="B184" s="46"/>
      <c r="C184" s="46"/>
      <c r="D184" s="47">
        <f t="shared" si="9"/>
        <v>0</v>
      </c>
      <c r="E184" s="46"/>
      <c r="F184" s="46"/>
      <c r="G184" s="47">
        <f t="shared" si="6"/>
        <v>0</v>
      </c>
      <c r="H184" s="48"/>
      <c r="I184" s="35"/>
      <c r="J184" s="46">
        <f t="shared" si="8"/>
        <v>0</v>
      </c>
      <c r="K184" s="46"/>
    </row>
    <row r="185" spans="1:11" x14ac:dyDescent="0.3">
      <c r="A185" s="46" t="s">
        <v>267</v>
      </c>
      <c r="B185" s="46"/>
      <c r="C185" s="46"/>
      <c r="D185" s="47">
        <f t="shared" si="9"/>
        <v>0</v>
      </c>
      <c r="E185" s="46"/>
      <c r="F185" s="46"/>
      <c r="G185" s="47">
        <f t="shared" si="6"/>
        <v>0</v>
      </c>
      <c r="H185" s="48">
        <v>130</v>
      </c>
      <c r="I185" s="35">
        <f t="shared" si="7"/>
        <v>0</v>
      </c>
      <c r="J185" s="46">
        <f t="shared" si="8"/>
        <v>0</v>
      </c>
      <c r="K185" s="46"/>
    </row>
    <row r="186" spans="1:11" x14ac:dyDescent="0.3">
      <c r="A186" s="46"/>
      <c r="B186" s="46"/>
      <c r="C186" s="46"/>
      <c r="D186" s="47">
        <f t="shared" si="9"/>
        <v>0</v>
      </c>
      <c r="E186" s="46"/>
      <c r="F186" s="46"/>
      <c r="G186" s="47">
        <f t="shared" si="6"/>
        <v>0</v>
      </c>
      <c r="H186" s="48"/>
      <c r="I186" s="35">
        <f t="shared" si="7"/>
        <v>0</v>
      </c>
      <c r="J186" s="46">
        <f t="shared" si="8"/>
        <v>0</v>
      </c>
      <c r="K186" s="46"/>
    </row>
    <row r="187" spans="1:11" x14ac:dyDescent="0.3">
      <c r="A187" s="42" t="s">
        <v>268</v>
      </c>
      <c r="B187" s="46"/>
      <c r="C187" s="46"/>
      <c r="D187" s="47">
        <f t="shared" si="9"/>
        <v>0</v>
      </c>
      <c r="E187" s="46"/>
      <c r="F187" s="46"/>
      <c r="G187" s="47">
        <f t="shared" si="6"/>
        <v>0</v>
      </c>
      <c r="H187" s="48"/>
      <c r="I187" s="35">
        <f t="shared" si="7"/>
        <v>0</v>
      </c>
      <c r="J187" s="46">
        <f t="shared" si="8"/>
        <v>3</v>
      </c>
      <c r="K187" s="46">
        <v>30</v>
      </c>
    </row>
    <row r="188" spans="1:11" x14ac:dyDescent="0.3">
      <c r="A188" s="46" t="s">
        <v>269</v>
      </c>
      <c r="B188" s="46"/>
      <c r="C188" s="46"/>
      <c r="D188" s="47">
        <f t="shared" si="9"/>
        <v>0</v>
      </c>
      <c r="E188" s="46"/>
      <c r="F188" s="46"/>
      <c r="G188" s="47">
        <f t="shared" si="6"/>
        <v>0</v>
      </c>
      <c r="H188" s="48">
        <v>700</v>
      </c>
      <c r="I188" s="35">
        <f t="shared" si="7"/>
        <v>0</v>
      </c>
      <c r="J188" s="46">
        <f t="shared" si="8"/>
        <v>0</v>
      </c>
      <c r="K188" s="46"/>
    </row>
    <row r="189" spans="1:11" x14ac:dyDescent="0.3">
      <c r="A189" s="46" t="s">
        <v>270</v>
      </c>
      <c r="B189" s="46"/>
      <c r="C189" s="46"/>
      <c r="D189" s="47">
        <f t="shared" si="9"/>
        <v>0</v>
      </c>
      <c r="E189" s="46"/>
      <c r="F189" s="46"/>
      <c r="G189" s="47">
        <f t="shared" si="6"/>
        <v>0</v>
      </c>
      <c r="H189" s="48">
        <v>650</v>
      </c>
      <c r="I189" s="35">
        <f t="shared" si="7"/>
        <v>0</v>
      </c>
      <c r="J189" s="46">
        <f t="shared" si="8"/>
        <v>0</v>
      </c>
      <c r="K189" s="46"/>
    </row>
    <row r="190" spans="1:11" x14ac:dyDescent="0.3">
      <c r="A190" s="46" t="s">
        <v>271</v>
      </c>
      <c r="B190" s="46"/>
      <c r="C190" s="46"/>
      <c r="D190" s="47">
        <f t="shared" si="9"/>
        <v>0</v>
      </c>
      <c r="E190" s="46"/>
      <c r="F190" s="46"/>
      <c r="G190" s="47">
        <f t="shared" si="6"/>
        <v>0</v>
      </c>
      <c r="H190" s="48">
        <v>300</v>
      </c>
      <c r="I190" s="35">
        <f t="shared" si="7"/>
        <v>0</v>
      </c>
      <c r="J190" s="46">
        <f t="shared" si="8"/>
        <v>20</v>
      </c>
      <c r="K190" s="46">
        <v>200</v>
      </c>
    </row>
    <row r="191" spans="1:11" x14ac:dyDescent="0.3">
      <c r="A191" s="46" t="s">
        <v>272</v>
      </c>
      <c r="B191" s="46">
        <v>500</v>
      </c>
      <c r="C191" s="46"/>
      <c r="D191" s="47">
        <f t="shared" si="9"/>
        <v>500</v>
      </c>
      <c r="E191" s="46">
        <v>500</v>
      </c>
      <c r="F191" s="46"/>
      <c r="G191" s="47">
        <f t="shared" si="6"/>
        <v>0</v>
      </c>
      <c r="H191" s="48">
        <v>20</v>
      </c>
      <c r="I191" s="35">
        <f t="shared" si="7"/>
        <v>0</v>
      </c>
      <c r="J191" s="46">
        <f t="shared" si="8"/>
        <v>20</v>
      </c>
      <c r="K191" s="46">
        <v>200</v>
      </c>
    </row>
    <row r="192" spans="1:11" x14ac:dyDescent="0.3">
      <c r="A192" s="46" t="s">
        <v>273</v>
      </c>
      <c r="B192" s="46"/>
      <c r="C192" s="46"/>
      <c r="D192" s="47">
        <f t="shared" si="9"/>
        <v>0</v>
      </c>
      <c r="E192" s="46"/>
      <c r="F192" s="46"/>
      <c r="G192" s="47">
        <f t="shared" si="6"/>
        <v>0</v>
      </c>
      <c r="H192" s="48">
        <v>700</v>
      </c>
      <c r="I192" s="35">
        <f t="shared" si="7"/>
        <v>0</v>
      </c>
      <c r="J192" s="46">
        <f t="shared" si="8"/>
        <v>20</v>
      </c>
      <c r="K192" s="46">
        <v>200</v>
      </c>
    </row>
    <row r="193" spans="1:11" x14ac:dyDescent="0.3">
      <c r="A193" s="46" t="s">
        <v>274</v>
      </c>
      <c r="B193" s="46"/>
      <c r="C193" s="46"/>
      <c r="D193" s="47">
        <f t="shared" si="9"/>
        <v>0</v>
      </c>
      <c r="E193" s="46"/>
      <c r="F193" s="46"/>
      <c r="G193" s="47">
        <f t="shared" si="6"/>
        <v>0</v>
      </c>
      <c r="H193" s="48"/>
      <c r="I193" s="35">
        <f t="shared" si="7"/>
        <v>0</v>
      </c>
      <c r="J193" s="46">
        <f t="shared" si="8"/>
        <v>50</v>
      </c>
      <c r="K193" s="46">
        <v>500</v>
      </c>
    </row>
    <row r="194" spans="1:11" x14ac:dyDescent="0.3">
      <c r="A194" s="46" t="s">
        <v>275</v>
      </c>
      <c r="B194" s="46"/>
      <c r="C194" s="46"/>
      <c r="D194" s="47">
        <f t="shared" si="9"/>
        <v>0</v>
      </c>
      <c r="E194" s="46"/>
      <c r="F194" s="46"/>
      <c r="G194" s="47">
        <f t="shared" si="6"/>
        <v>0</v>
      </c>
      <c r="H194" s="48">
        <v>650</v>
      </c>
      <c r="I194" s="35">
        <f t="shared" si="7"/>
        <v>0</v>
      </c>
      <c r="J194" s="46">
        <f t="shared" si="8"/>
        <v>20</v>
      </c>
      <c r="K194" s="46">
        <v>200</v>
      </c>
    </row>
    <row r="195" spans="1:11" x14ac:dyDescent="0.3">
      <c r="A195" s="46" t="s">
        <v>276</v>
      </c>
      <c r="B195" s="46">
        <v>160</v>
      </c>
      <c r="C195" s="46"/>
      <c r="D195" s="47">
        <f t="shared" si="9"/>
        <v>160</v>
      </c>
      <c r="E195" s="46">
        <v>159</v>
      </c>
      <c r="F195" s="46"/>
      <c r="G195" s="47">
        <f t="shared" si="6"/>
        <v>1</v>
      </c>
      <c r="H195" s="48">
        <v>600</v>
      </c>
      <c r="I195" s="35">
        <f t="shared" si="7"/>
        <v>600</v>
      </c>
      <c r="J195" s="46">
        <f t="shared" si="8"/>
        <v>5</v>
      </c>
      <c r="K195" s="46">
        <v>50</v>
      </c>
    </row>
    <row r="196" spans="1:11" x14ac:dyDescent="0.3">
      <c r="A196" s="46" t="s">
        <v>277</v>
      </c>
      <c r="B196" s="46">
        <v>10</v>
      </c>
      <c r="C196" s="46"/>
      <c r="D196" s="47">
        <f t="shared" si="9"/>
        <v>10</v>
      </c>
      <c r="E196" s="46">
        <v>10</v>
      </c>
      <c r="F196" s="46"/>
      <c r="G196" s="47">
        <f t="shared" si="6"/>
        <v>0</v>
      </c>
      <c r="H196" s="48">
        <v>600</v>
      </c>
      <c r="I196" s="35">
        <f t="shared" si="7"/>
        <v>0</v>
      </c>
      <c r="J196" s="46">
        <f t="shared" si="8"/>
        <v>5</v>
      </c>
      <c r="K196" s="46">
        <v>50</v>
      </c>
    </row>
    <row r="197" spans="1:11" x14ac:dyDescent="0.3">
      <c r="A197" s="46" t="s">
        <v>278</v>
      </c>
      <c r="B197" s="46">
        <v>50</v>
      </c>
      <c r="C197" s="46"/>
      <c r="D197" s="47">
        <f t="shared" si="9"/>
        <v>50</v>
      </c>
      <c r="E197" s="46">
        <v>40</v>
      </c>
      <c r="F197" s="46"/>
      <c r="G197" s="47">
        <f t="shared" si="6"/>
        <v>10</v>
      </c>
      <c r="H197" s="48">
        <v>70</v>
      </c>
      <c r="I197" s="35">
        <f t="shared" si="7"/>
        <v>700</v>
      </c>
      <c r="J197" s="46">
        <f t="shared" si="8"/>
        <v>20</v>
      </c>
      <c r="K197" s="46">
        <v>200</v>
      </c>
    </row>
    <row r="198" spans="1:11" x14ac:dyDescent="0.3">
      <c r="A198" s="46" t="s">
        <v>279</v>
      </c>
      <c r="B198" s="46">
        <v>291</v>
      </c>
      <c r="C198" s="46"/>
      <c r="D198" s="47">
        <f t="shared" si="9"/>
        <v>291</v>
      </c>
      <c r="E198" s="46">
        <v>286</v>
      </c>
      <c r="F198" s="46"/>
      <c r="G198" s="47">
        <f t="shared" si="6"/>
        <v>5</v>
      </c>
      <c r="H198" s="48">
        <v>20</v>
      </c>
      <c r="I198" s="35">
        <f t="shared" si="7"/>
        <v>100</v>
      </c>
      <c r="J198" s="46">
        <f t="shared" si="8"/>
        <v>20</v>
      </c>
      <c r="K198" s="46">
        <v>200</v>
      </c>
    </row>
    <row r="199" spans="1:11" x14ac:dyDescent="0.3">
      <c r="A199" s="46" t="s">
        <v>280</v>
      </c>
      <c r="B199" s="46">
        <v>150</v>
      </c>
      <c r="C199" s="46"/>
      <c r="D199" s="47">
        <f t="shared" si="9"/>
        <v>150</v>
      </c>
      <c r="E199" s="46">
        <v>100</v>
      </c>
      <c r="F199" s="46"/>
      <c r="G199" s="47">
        <f t="shared" si="6"/>
        <v>50</v>
      </c>
      <c r="H199" s="48">
        <v>4.5</v>
      </c>
      <c r="I199" s="35">
        <f t="shared" si="7"/>
        <v>225</v>
      </c>
      <c r="J199" s="46">
        <f t="shared" si="8"/>
        <v>5</v>
      </c>
      <c r="K199" s="46">
        <v>50</v>
      </c>
    </row>
    <row r="200" spans="1:11" x14ac:dyDescent="0.3">
      <c r="A200" s="46" t="s">
        <v>281</v>
      </c>
      <c r="B200" s="46">
        <v>4</v>
      </c>
      <c r="C200" s="46">
        <v>20</v>
      </c>
      <c r="D200" s="47">
        <f t="shared" si="9"/>
        <v>24</v>
      </c>
      <c r="E200" s="46">
        <v>20</v>
      </c>
      <c r="F200" s="46"/>
      <c r="G200" s="47">
        <f t="shared" si="6"/>
        <v>4</v>
      </c>
      <c r="H200" s="48">
        <v>700</v>
      </c>
      <c r="I200" s="35">
        <f t="shared" ref="I200:I294" si="10">G200*H200</f>
        <v>2800</v>
      </c>
      <c r="J200" s="46">
        <f t="shared" si="8"/>
        <v>50</v>
      </c>
      <c r="K200" s="46">
        <v>500</v>
      </c>
    </row>
    <row r="201" spans="1:11" x14ac:dyDescent="0.3">
      <c r="A201" s="46" t="s">
        <v>282</v>
      </c>
      <c r="B201" s="46">
        <v>1000</v>
      </c>
      <c r="C201" s="46"/>
      <c r="D201" s="47">
        <f t="shared" si="9"/>
        <v>1000</v>
      </c>
      <c r="E201" s="46">
        <v>1000</v>
      </c>
      <c r="F201" s="46"/>
      <c r="G201" s="47">
        <f t="shared" si="6"/>
        <v>0</v>
      </c>
      <c r="H201" s="48">
        <v>20</v>
      </c>
      <c r="I201" s="35">
        <f t="shared" si="10"/>
        <v>0</v>
      </c>
      <c r="J201" s="46">
        <f t="shared" si="8"/>
        <v>20</v>
      </c>
      <c r="K201" s="46">
        <v>200</v>
      </c>
    </row>
    <row r="202" spans="1:11" x14ac:dyDescent="0.3">
      <c r="A202" s="46" t="s">
        <v>283</v>
      </c>
      <c r="B202" s="46">
        <v>1000</v>
      </c>
      <c r="C202" s="46"/>
      <c r="D202" s="47">
        <f t="shared" si="9"/>
        <v>1000</v>
      </c>
      <c r="E202" s="46">
        <v>1000</v>
      </c>
      <c r="F202" s="46"/>
      <c r="G202" s="47">
        <f t="shared" si="6"/>
        <v>0</v>
      </c>
      <c r="H202" s="48">
        <v>30</v>
      </c>
      <c r="I202" s="35">
        <f t="shared" si="10"/>
        <v>0</v>
      </c>
      <c r="J202" s="46">
        <f t="shared" si="8"/>
        <v>25</v>
      </c>
      <c r="K202" s="46">
        <v>250</v>
      </c>
    </row>
    <row r="203" spans="1:11" x14ac:dyDescent="0.3">
      <c r="A203" s="46" t="s">
        <v>284</v>
      </c>
      <c r="B203" s="46"/>
      <c r="C203" s="46"/>
      <c r="D203" s="47">
        <f t="shared" si="9"/>
        <v>0</v>
      </c>
      <c r="E203" s="46"/>
      <c r="F203" s="46"/>
      <c r="G203" s="47">
        <f t="shared" si="6"/>
        <v>0</v>
      </c>
      <c r="H203" s="48">
        <v>20</v>
      </c>
      <c r="I203" s="35">
        <f t="shared" si="10"/>
        <v>0</v>
      </c>
      <c r="J203" s="46">
        <f t="shared" si="8"/>
        <v>0</v>
      </c>
      <c r="K203" s="46"/>
    </row>
    <row r="204" spans="1:11" x14ac:dyDescent="0.3">
      <c r="A204" s="46" t="s">
        <v>285</v>
      </c>
      <c r="B204" s="46"/>
      <c r="C204" s="46"/>
      <c r="D204" s="47">
        <f t="shared" si="9"/>
        <v>0</v>
      </c>
      <c r="E204" s="46"/>
      <c r="F204" s="46"/>
      <c r="G204" s="47">
        <f t="shared" si="6"/>
        <v>0</v>
      </c>
      <c r="H204" s="48">
        <v>350</v>
      </c>
      <c r="I204" s="35">
        <f t="shared" si="10"/>
        <v>0</v>
      </c>
      <c r="J204" s="46">
        <f t="shared" si="8"/>
        <v>100</v>
      </c>
      <c r="K204" s="46">
        <v>1000</v>
      </c>
    </row>
    <row r="205" spans="1:11" x14ac:dyDescent="0.3">
      <c r="A205" s="46" t="s">
        <v>286</v>
      </c>
      <c r="B205" s="46">
        <v>6</v>
      </c>
      <c r="C205" s="46"/>
      <c r="D205" s="47">
        <f t="shared" si="9"/>
        <v>6</v>
      </c>
      <c r="E205" s="46">
        <v>5</v>
      </c>
      <c r="F205" s="46"/>
      <c r="G205" s="47">
        <f t="shared" si="6"/>
        <v>1</v>
      </c>
      <c r="H205" s="48">
        <v>520</v>
      </c>
      <c r="I205" s="35">
        <f>G205*H205</f>
        <v>520</v>
      </c>
      <c r="J205" s="46">
        <f t="shared" si="8"/>
        <v>2</v>
      </c>
      <c r="K205" s="46">
        <v>20</v>
      </c>
    </row>
    <row r="206" spans="1:11" x14ac:dyDescent="0.3">
      <c r="A206" s="46" t="s">
        <v>287</v>
      </c>
      <c r="B206" s="46"/>
      <c r="C206" s="46"/>
      <c r="D206" s="47">
        <f t="shared" si="9"/>
        <v>0</v>
      </c>
      <c r="E206" s="46"/>
      <c r="F206" s="46"/>
      <c r="G206" s="47">
        <f t="shared" si="6"/>
        <v>0</v>
      </c>
      <c r="H206" s="48">
        <v>480</v>
      </c>
      <c r="I206" s="35">
        <f t="shared" si="10"/>
        <v>0</v>
      </c>
      <c r="J206" s="46">
        <f t="shared" si="8"/>
        <v>2</v>
      </c>
      <c r="K206" s="46">
        <v>20</v>
      </c>
    </row>
    <row r="207" spans="1:11" x14ac:dyDescent="0.3">
      <c r="A207" s="46" t="s">
        <v>288</v>
      </c>
      <c r="B207" s="46"/>
      <c r="C207" s="46"/>
      <c r="D207" s="47">
        <f t="shared" si="9"/>
        <v>0</v>
      </c>
      <c r="E207" s="46"/>
      <c r="F207" s="46"/>
      <c r="G207" s="47">
        <f t="shared" si="6"/>
        <v>0</v>
      </c>
      <c r="H207" s="48">
        <v>1585</v>
      </c>
      <c r="I207" s="35">
        <f t="shared" si="10"/>
        <v>0</v>
      </c>
      <c r="J207" s="46">
        <f t="shared" si="8"/>
        <v>2</v>
      </c>
      <c r="K207" s="46">
        <v>20</v>
      </c>
    </row>
    <row r="208" spans="1:11" x14ac:dyDescent="0.3">
      <c r="A208" s="46" t="s">
        <v>289</v>
      </c>
      <c r="B208" s="46"/>
      <c r="C208" s="46"/>
      <c r="D208" s="47">
        <f t="shared" si="9"/>
        <v>0</v>
      </c>
      <c r="E208" s="46"/>
      <c r="F208" s="46"/>
      <c r="G208" s="47">
        <f t="shared" si="6"/>
        <v>0</v>
      </c>
      <c r="H208" s="48">
        <v>750</v>
      </c>
      <c r="I208" s="35">
        <f t="shared" si="10"/>
        <v>0</v>
      </c>
      <c r="J208" s="46">
        <f t="shared" si="8"/>
        <v>2</v>
      </c>
      <c r="K208" s="46">
        <v>20</v>
      </c>
    </row>
    <row r="209" spans="1:11" x14ac:dyDescent="0.3">
      <c r="A209" s="46" t="s">
        <v>290</v>
      </c>
      <c r="B209" s="46">
        <v>1</v>
      </c>
      <c r="C209" s="46"/>
      <c r="D209" s="47">
        <f t="shared" si="9"/>
        <v>1</v>
      </c>
      <c r="E209" s="46"/>
      <c r="F209" s="46"/>
      <c r="G209" s="47">
        <f t="shared" si="6"/>
        <v>1</v>
      </c>
      <c r="H209" s="48">
        <v>800</v>
      </c>
      <c r="I209" s="35">
        <v>800</v>
      </c>
      <c r="J209" s="46">
        <f t="shared" si="8"/>
        <v>5</v>
      </c>
      <c r="K209" s="46">
        <v>50</v>
      </c>
    </row>
    <row r="210" spans="1:11" x14ac:dyDescent="0.3">
      <c r="A210" s="46" t="s">
        <v>291</v>
      </c>
      <c r="B210" s="46"/>
      <c r="C210" s="46"/>
      <c r="D210" s="47">
        <f t="shared" si="9"/>
        <v>0</v>
      </c>
      <c r="E210" s="46"/>
      <c r="F210" s="46"/>
      <c r="G210" s="47">
        <f t="shared" si="6"/>
        <v>0</v>
      </c>
      <c r="H210" s="48">
        <v>2200</v>
      </c>
      <c r="I210" s="35">
        <f t="shared" si="10"/>
        <v>0</v>
      </c>
      <c r="J210" s="46">
        <f t="shared" si="8"/>
        <v>5</v>
      </c>
      <c r="K210" s="46">
        <v>50</v>
      </c>
    </row>
    <row r="211" spans="1:11" x14ac:dyDescent="0.3">
      <c r="A211" s="46" t="s">
        <v>292</v>
      </c>
      <c r="B211" s="46"/>
      <c r="C211" s="46"/>
      <c r="D211" s="47">
        <f t="shared" si="9"/>
        <v>0</v>
      </c>
      <c r="E211" s="46"/>
      <c r="F211" s="46"/>
      <c r="G211" s="47">
        <f t="shared" si="6"/>
        <v>0</v>
      </c>
      <c r="H211" s="48">
        <v>1100</v>
      </c>
      <c r="I211" s="35">
        <f t="shared" si="10"/>
        <v>0</v>
      </c>
      <c r="J211" s="46">
        <f t="shared" si="8"/>
        <v>10</v>
      </c>
      <c r="K211" s="46">
        <v>100</v>
      </c>
    </row>
    <row r="212" spans="1:11" x14ac:dyDescent="0.3">
      <c r="A212" s="46"/>
      <c r="B212" s="46"/>
      <c r="C212" s="46"/>
      <c r="D212" s="47"/>
      <c r="E212" s="46"/>
      <c r="F212" s="46"/>
      <c r="G212" s="47"/>
      <c r="H212" s="48"/>
      <c r="I212" s="35"/>
      <c r="J212" s="46">
        <f t="shared" si="8"/>
        <v>5</v>
      </c>
      <c r="K212" s="46">
        <v>50</v>
      </c>
    </row>
    <row r="213" spans="1:11" x14ac:dyDescent="0.3">
      <c r="A213" s="42" t="s">
        <v>293</v>
      </c>
      <c r="B213" s="46"/>
      <c r="C213" s="46"/>
      <c r="D213" s="47">
        <f t="shared" si="9"/>
        <v>0</v>
      </c>
      <c r="E213" s="46"/>
      <c r="F213" s="46"/>
      <c r="G213" s="47">
        <f t="shared" si="6"/>
        <v>0</v>
      </c>
      <c r="H213" s="48"/>
      <c r="I213" s="35">
        <f t="shared" si="10"/>
        <v>0</v>
      </c>
      <c r="J213" s="46">
        <f t="shared" si="8"/>
        <v>5</v>
      </c>
      <c r="K213" s="46">
        <v>50</v>
      </c>
    </row>
    <row r="214" spans="1:11" x14ac:dyDescent="0.3">
      <c r="A214" s="46" t="s">
        <v>294</v>
      </c>
      <c r="B214" s="46">
        <v>10</v>
      </c>
      <c r="C214" s="46"/>
      <c r="D214" s="47">
        <f t="shared" si="9"/>
        <v>10</v>
      </c>
      <c r="E214" s="46">
        <v>9</v>
      </c>
      <c r="F214" s="46"/>
      <c r="G214" s="47">
        <f t="shared" si="6"/>
        <v>1</v>
      </c>
      <c r="H214" s="48">
        <v>1400</v>
      </c>
      <c r="I214" s="35">
        <f t="shared" si="10"/>
        <v>1400</v>
      </c>
      <c r="J214" s="46">
        <f t="shared" si="8"/>
        <v>0</v>
      </c>
      <c r="K214" s="46"/>
    </row>
    <row r="215" spans="1:11" x14ac:dyDescent="0.3">
      <c r="A215" s="46" t="s">
        <v>295</v>
      </c>
      <c r="B215" s="46">
        <v>46</v>
      </c>
      <c r="C215" s="46">
        <v>20</v>
      </c>
      <c r="D215" s="47">
        <f t="shared" si="9"/>
        <v>66</v>
      </c>
      <c r="E215" s="46">
        <v>34</v>
      </c>
      <c r="F215" s="46"/>
      <c r="G215" s="47">
        <f t="shared" si="6"/>
        <v>32</v>
      </c>
      <c r="H215" s="48">
        <v>600</v>
      </c>
      <c r="I215" s="35">
        <f t="shared" si="10"/>
        <v>19200</v>
      </c>
      <c r="J215" s="46">
        <f t="shared" si="8"/>
        <v>0</v>
      </c>
      <c r="K215" s="46"/>
    </row>
    <row r="216" spans="1:11" x14ac:dyDescent="0.3">
      <c r="A216" s="46" t="s">
        <v>296</v>
      </c>
      <c r="B216" s="46"/>
      <c r="C216" s="46"/>
      <c r="D216" s="47">
        <f t="shared" si="9"/>
        <v>0</v>
      </c>
      <c r="E216" s="46"/>
      <c r="F216" s="46"/>
      <c r="G216" s="47">
        <f t="shared" si="6"/>
        <v>0</v>
      </c>
      <c r="H216" s="48">
        <v>2500</v>
      </c>
      <c r="I216" s="35">
        <f t="shared" si="10"/>
        <v>0</v>
      </c>
      <c r="J216" s="46">
        <f t="shared" si="8"/>
        <v>1</v>
      </c>
      <c r="K216" s="46">
        <v>10</v>
      </c>
    </row>
    <row r="217" spans="1:11" x14ac:dyDescent="0.3">
      <c r="A217" s="46" t="s">
        <v>256</v>
      </c>
      <c r="B217" s="46">
        <v>39</v>
      </c>
      <c r="C217" s="46"/>
      <c r="D217" s="47">
        <f t="shared" si="9"/>
        <v>39</v>
      </c>
      <c r="E217" s="46">
        <v>25</v>
      </c>
      <c r="F217" s="46"/>
      <c r="G217" s="47">
        <f t="shared" si="6"/>
        <v>14</v>
      </c>
      <c r="H217" s="49">
        <v>250</v>
      </c>
      <c r="I217" s="35">
        <f t="shared" si="10"/>
        <v>3500</v>
      </c>
      <c r="J217" s="46">
        <f t="shared" ref="J217:J280" si="11">K217/10</f>
        <v>500</v>
      </c>
      <c r="K217" s="46">
        <v>5000</v>
      </c>
    </row>
    <row r="218" spans="1:11" x14ac:dyDescent="0.3">
      <c r="A218" s="46" t="s">
        <v>297</v>
      </c>
      <c r="B218" s="46">
        <v>21</v>
      </c>
      <c r="C218" s="46">
        <v>10</v>
      </c>
      <c r="D218" s="47">
        <f t="shared" si="9"/>
        <v>31</v>
      </c>
      <c r="E218" s="46"/>
      <c r="F218" s="46"/>
      <c r="G218" s="47">
        <f t="shared" si="6"/>
        <v>31</v>
      </c>
      <c r="H218" s="49">
        <v>600</v>
      </c>
      <c r="I218" s="35">
        <f t="shared" si="10"/>
        <v>18600</v>
      </c>
      <c r="J218" s="46">
        <f t="shared" si="11"/>
        <v>0</v>
      </c>
      <c r="K218" s="46"/>
    </row>
    <row r="219" spans="1:11" x14ac:dyDescent="0.3">
      <c r="A219" s="46" t="s">
        <v>298</v>
      </c>
      <c r="B219" s="46">
        <v>42</v>
      </c>
      <c r="C219" s="46"/>
      <c r="D219" s="47">
        <f t="shared" si="9"/>
        <v>42</v>
      </c>
      <c r="E219" s="46">
        <v>35</v>
      </c>
      <c r="F219" s="46"/>
      <c r="G219" s="47">
        <f t="shared" si="6"/>
        <v>7</v>
      </c>
      <c r="H219" s="48">
        <v>400</v>
      </c>
      <c r="I219" s="35">
        <f t="shared" si="10"/>
        <v>2800</v>
      </c>
      <c r="J219" s="46">
        <f t="shared" si="11"/>
        <v>10</v>
      </c>
      <c r="K219" s="46">
        <v>100</v>
      </c>
    </row>
    <row r="220" spans="1:11" x14ac:dyDescent="0.3">
      <c r="A220" s="46" t="s">
        <v>299</v>
      </c>
      <c r="B220" s="46">
        <v>31</v>
      </c>
      <c r="C220" s="46"/>
      <c r="D220" s="47">
        <f t="shared" si="9"/>
        <v>31</v>
      </c>
      <c r="E220" s="46">
        <v>21</v>
      </c>
      <c r="F220" s="46"/>
      <c r="G220" s="47">
        <f t="shared" si="6"/>
        <v>10</v>
      </c>
      <c r="H220" s="49">
        <v>500</v>
      </c>
      <c r="I220" s="35">
        <f t="shared" si="10"/>
        <v>5000</v>
      </c>
      <c r="J220" s="46">
        <f t="shared" si="11"/>
        <v>100</v>
      </c>
      <c r="K220" s="46">
        <v>1000</v>
      </c>
    </row>
    <row r="221" spans="1:11" x14ac:dyDescent="0.3">
      <c r="A221" s="46" t="s">
        <v>228</v>
      </c>
      <c r="B221" s="46">
        <v>1</v>
      </c>
      <c r="C221" s="46">
        <v>10</v>
      </c>
      <c r="D221" s="47">
        <f t="shared" si="9"/>
        <v>11</v>
      </c>
      <c r="E221" s="46">
        <v>10</v>
      </c>
      <c r="F221" s="46"/>
      <c r="G221" s="47">
        <f t="shared" si="6"/>
        <v>1</v>
      </c>
      <c r="H221" s="48">
        <v>650</v>
      </c>
      <c r="I221" s="35">
        <f t="shared" si="10"/>
        <v>650</v>
      </c>
      <c r="J221" s="46">
        <f t="shared" si="11"/>
        <v>10</v>
      </c>
      <c r="K221" s="46">
        <v>100</v>
      </c>
    </row>
    <row r="222" spans="1:11" x14ac:dyDescent="0.3">
      <c r="A222" s="46" t="s">
        <v>300</v>
      </c>
      <c r="B222" s="46">
        <v>4</v>
      </c>
      <c r="C222" s="46">
        <v>10</v>
      </c>
      <c r="D222" s="47">
        <f t="shared" si="9"/>
        <v>14</v>
      </c>
      <c r="E222" s="46">
        <v>5</v>
      </c>
      <c r="F222" s="46"/>
      <c r="G222" s="47">
        <f t="shared" si="6"/>
        <v>9</v>
      </c>
      <c r="H222" s="48">
        <v>1400</v>
      </c>
      <c r="I222" s="35">
        <f t="shared" si="10"/>
        <v>12600</v>
      </c>
      <c r="J222" s="46">
        <f t="shared" si="11"/>
        <v>5</v>
      </c>
      <c r="K222" s="46">
        <v>50</v>
      </c>
    </row>
    <row r="223" spans="1:11" x14ac:dyDescent="0.3">
      <c r="A223" s="46" t="s">
        <v>301</v>
      </c>
      <c r="B223" s="46">
        <v>10</v>
      </c>
      <c r="C223" s="46">
        <v>20</v>
      </c>
      <c r="D223" s="47">
        <f t="shared" si="9"/>
        <v>30</v>
      </c>
      <c r="E223" s="46">
        <v>20</v>
      </c>
      <c r="F223" s="46"/>
      <c r="G223" s="47">
        <f t="shared" si="6"/>
        <v>10</v>
      </c>
      <c r="H223" s="48">
        <v>200</v>
      </c>
      <c r="I223" s="35">
        <f t="shared" si="10"/>
        <v>2000</v>
      </c>
      <c r="J223" s="46">
        <f t="shared" si="11"/>
        <v>5</v>
      </c>
      <c r="K223" s="46">
        <v>50</v>
      </c>
    </row>
    <row r="224" spans="1:11" x14ac:dyDescent="0.3">
      <c r="A224" s="46"/>
      <c r="B224" s="46"/>
      <c r="C224" s="46"/>
      <c r="D224" s="47">
        <f t="shared" si="9"/>
        <v>0</v>
      </c>
      <c r="E224" s="46"/>
      <c r="F224" s="46"/>
      <c r="G224" s="47">
        <f t="shared" si="6"/>
        <v>0</v>
      </c>
      <c r="H224" s="48">
        <v>100</v>
      </c>
      <c r="I224" s="35">
        <f t="shared" si="10"/>
        <v>0</v>
      </c>
      <c r="J224" s="46">
        <f t="shared" si="11"/>
        <v>5</v>
      </c>
      <c r="K224" s="46">
        <v>50</v>
      </c>
    </row>
    <row r="225" spans="1:11" x14ac:dyDescent="0.3">
      <c r="A225" s="46" t="s">
        <v>302</v>
      </c>
      <c r="B225" s="46">
        <v>10</v>
      </c>
      <c r="C225" s="46">
        <v>20</v>
      </c>
      <c r="D225" s="47">
        <f t="shared" si="9"/>
        <v>30</v>
      </c>
      <c r="E225" s="46">
        <v>18</v>
      </c>
      <c r="F225" s="46"/>
      <c r="G225" s="47">
        <f t="shared" si="6"/>
        <v>12</v>
      </c>
      <c r="H225" s="48">
        <v>950</v>
      </c>
      <c r="I225" s="35">
        <f t="shared" si="10"/>
        <v>11400</v>
      </c>
      <c r="J225" s="46">
        <f t="shared" si="11"/>
        <v>50</v>
      </c>
      <c r="K225" s="46">
        <v>500</v>
      </c>
    </row>
    <row r="226" spans="1:11" x14ac:dyDescent="0.3">
      <c r="A226" s="46" t="s">
        <v>303</v>
      </c>
      <c r="B226" s="46">
        <v>3</v>
      </c>
      <c r="C226" s="46"/>
      <c r="D226" s="47">
        <f t="shared" si="9"/>
        <v>3</v>
      </c>
      <c r="E226" s="46"/>
      <c r="F226" s="46"/>
      <c r="G226" s="47">
        <f t="shared" ref="G226:G340" si="12">D226-E226-F226</f>
        <v>3</v>
      </c>
      <c r="H226" s="49">
        <v>850</v>
      </c>
      <c r="I226" s="35">
        <f t="shared" si="10"/>
        <v>2550</v>
      </c>
      <c r="J226" s="46">
        <f t="shared" si="11"/>
        <v>0</v>
      </c>
      <c r="K226" s="46"/>
    </row>
    <row r="227" spans="1:11" x14ac:dyDescent="0.3">
      <c r="A227" s="46" t="s">
        <v>304</v>
      </c>
      <c r="B227" s="46"/>
      <c r="C227" s="46"/>
      <c r="D227" s="47">
        <f t="shared" si="9"/>
        <v>0</v>
      </c>
      <c r="E227" s="46"/>
      <c r="F227" s="46"/>
      <c r="G227" s="47">
        <f t="shared" si="12"/>
        <v>0</v>
      </c>
      <c r="H227" s="48"/>
      <c r="I227" s="35">
        <f t="shared" si="10"/>
        <v>0</v>
      </c>
      <c r="J227" s="46">
        <f t="shared" si="11"/>
        <v>50</v>
      </c>
      <c r="K227" s="46">
        <v>500</v>
      </c>
    </row>
    <row r="228" spans="1:11" x14ac:dyDescent="0.3">
      <c r="A228" s="46" t="s">
        <v>305</v>
      </c>
      <c r="B228" s="46"/>
      <c r="C228" s="46"/>
      <c r="D228" s="47">
        <f t="shared" si="9"/>
        <v>0</v>
      </c>
      <c r="E228" s="46"/>
      <c r="F228" s="46"/>
      <c r="G228" s="47">
        <f t="shared" si="12"/>
        <v>0</v>
      </c>
      <c r="H228" s="51">
        <v>1100</v>
      </c>
      <c r="I228" s="35">
        <f t="shared" si="10"/>
        <v>0</v>
      </c>
      <c r="J228" s="46">
        <f t="shared" si="11"/>
        <v>50</v>
      </c>
      <c r="K228" s="46">
        <v>500</v>
      </c>
    </row>
    <row r="229" spans="1:11" x14ac:dyDescent="0.3">
      <c r="A229" s="46" t="s">
        <v>306</v>
      </c>
      <c r="B229" s="46">
        <v>21</v>
      </c>
      <c r="C229" s="46">
        <v>20</v>
      </c>
      <c r="D229" s="47">
        <f t="shared" si="9"/>
        <v>41</v>
      </c>
      <c r="E229" s="46">
        <v>10</v>
      </c>
      <c r="F229" s="46"/>
      <c r="G229" s="47">
        <f t="shared" si="12"/>
        <v>31</v>
      </c>
      <c r="H229" s="48">
        <v>500</v>
      </c>
      <c r="I229" s="35">
        <f t="shared" si="10"/>
        <v>15500</v>
      </c>
      <c r="J229" s="46">
        <f t="shared" si="11"/>
        <v>0</v>
      </c>
      <c r="K229" s="46"/>
    </row>
    <row r="230" spans="1:11" x14ac:dyDescent="0.3">
      <c r="A230" s="46" t="s">
        <v>307</v>
      </c>
      <c r="B230" s="46">
        <v>10</v>
      </c>
      <c r="C230" s="46"/>
      <c r="D230" s="47">
        <f t="shared" si="9"/>
        <v>10</v>
      </c>
      <c r="E230" s="46"/>
      <c r="F230" s="46"/>
      <c r="G230" s="47">
        <f t="shared" si="12"/>
        <v>10</v>
      </c>
      <c r="H230" s="49">
        <v>700</v>
      </c>
      <c r="I230" s="35">
        <f t="shared" si="10"/>
        <v>7000</v>
      </c>
      <c r="J230" s="46">
        <f t="shared" si="11"/>
        <v>5</v>
      </c>
      <c r="K230" s="46">
        <v>50</v>
      </c>
    </row>
    <row r="231" spans="1:11" x14ac:dyDescent="0.3">
      <c r="A231" s="46" t="s">
        <v>308</v>
      </c>
      <c r="B231" s="46">
        <v>15</v>
      </c>
      <c r="C231" s="46"/>
      <c r="D231" s="47">
        <f t="shared" si="9"/>
        <v>15</v>
      </c>
      <c r="E231" s="46">
        <v>5</v>
      </c>
      <c r="F231" s="46"/>
      <c r="G231" s="47">
        <f t="shared" si="12"/>
        <v>10</v>
      </c>
      <c r="H231" s="48">
        <v>250</v>
      </c>
      <c r="I231" s="35">
        <f t="shared" si="10"/>
        <v>2500</v>
      </c>
      <c r="J231" s="46">
        <f t="shared" si="11"/>
        <v>20</v>
      </c>
      <c r="K231" s="46">
        <v>200</v>
      </c>
    </row>
    <row r="232" spans="1:11" x14ac:dyDescent="0.3">
      <c r="A232" s="46" t="s">
        <v>309</v>
      </c>
      <c r="B232" s="46">
        <v>26</v>
      </c>
      <c r="C232" s="46">
        <v>10</v>
      </c>
      <c r="D232" s="47">
        <f t="shared" si="9"/>
        <v>36</v>
      </c>
      <c r="E232" s="46">
        <v>28</v>
      </c>
      <c r="F232" s="46"/>
      <c r="G232" s="47">
        <f t="shared" si="12"/>
        <v>8</v>
      </c>
      <c r="H232" s="48">
        <v>600</v>
      </c>
      <c r="I232" s="35">
        <f t="shared" si="10"/>
        <v>4800</v>
      </c>
      <c r="J232" s="46">
        <f t="shared" si="11"/>
        <v>20</v>
      </c>
      <c r="K232" s="46">
        <v>200</v>
      </c>
    </row>
    <row r="233" spans="1:11" x14ac:dyDescent="0.3">
      <c r="A233" s="46" t="s">
        <v>279</v>
      </c>
      <c r="B233" s="46">
        <v>3</v>
      </c>
      <c r="C233" s="46">
        <v>30</v>
      </c>
      <c r="D233" s="47">
        <f t="shared" si="9"/>
        <v>33</v>
      </c>
      <c r="E233" s="46"/>
      <c r="F233" s="46"/>
      <c r="G233" s="47">
        <f t="shared" si="12"/>
        <v>33</v>
      </c>
      <c r="H233" s="49">
        <v>150</v>
      </c>
      <c r="I233" s="35">
        <f t="shared" si="10"/>
        <v>4950</v>
      </c>
      <c r="J233" s="46">
        <f t="shared" si="11"/>
        <v>10</v>
      </c>
      <c r="K233" s="46">
        <v>100</v>
      </c>
    </row>
    <row r="234" spans="1:11" x14ac:dyDescent="0.3">
      <c r="A234" s="46" t="s">
        <v>310</v>
      </c>
      <c r="B234" s="46">
        <v>52</v>
      </c>
      <c r="C234" s="46"/>
      <c r="D234" s="47">
        <f t="shared" si="9"/>
        <v>52</v>
      </c>
      <c r="E234" s="46">
        <v>13</v>
      </c>
      <c r="F234" s="46"/>
      <c r="G234" s="47">
        <f t="shared" si="12"/>
        <v>39</v>
      </c>
      <c r="H234" s="49">
        <v>700</v>
      </c>
      <c r="I234" s="35">
        <f t="shared" si="10"/>
        <v>27300</v>
      </c>
      <c r="J234" s="46">
        <f t="shared" si="11"/>
        <v>5</v>
      </c>
      <c r="K234" s="46">
        <v>50</v>
      </c>
    </row>
    <row r="235" spans="1:11" x14ac:dyDescent="0.3">
      <c r="A235" s="46" t="s">
        <v>311</v>
      </c>
      <c r="B235" s="46">
        <v>5</v>
      </c>
      <c r="C235" s="46">
        <v>10</v>
      </c>
      <c r="D235" s="47">
        <f t="shared" si="9"/>
        <v>15</v>
      </c>
      <c r="E235" s="46">
        <v>11</v>
      </c>
      <c r="F235" s="46"/>
      <c r="G235" s="47">
        <f t="shared" si="12"/>
        <v>4</v>
      </c>
      <c r="H235" s="49">
        <v>300</v>
      </c>
      <c r="I235" s="35">
        <f t="shared" si="10"/>
        <v>1200</v>
      </c>
      <c r="J235" s="46">
        <f t="shared" si="11"/>
        <v>5</v>
      </c>
      <c r="K235" s="46">
        <v>50</v>
      </c>
    </row>
    <row r="236" spans="1:11" x14ac:dyDescent="0.3">
      <c r="A236" s="46" t="s">
        <v>312</v>
      </c>
      <c r="B236" s="46">
        <v>3</v>
      </c>
      <c r="C236" s="46">
        <v>10</v>
      </c>
      <c r="D236" s="47">
        <f t="shared" si="9"/>
        <v>13</v>
      </c>
      <c r="E236" s="46">
        <v>11</v>
      </c>
      <c r="F236" s="46"/>
      <c r="G236" s="47">
        <f t="shared" si="12"/>
        <v>2</v>
      </c>
      <c r="H236" s="48">
        <v>200</v>
      </c>
      <c r="I236" s="35">
        <f t="shared" si="10"/>
        <v>400</v>
      </c>
      <c r="J236" s="46">
        <f t="shared" si="11"/>
        <v>50</v>
      </c>
      <c r="K236" s="46">
        <v>500</v>
      </c>
    </row>
    <row r="237" spans="1:11" x14ac:dyDescent="0.3">
      <c r="A237" s="46" t="s">
        <v>197</v>
      </c>
      <c r="B237" s="46">
        <v>3</v>
      </c>
      <c r="C237" s="46"/>
      <c r="D237" s="47">
        <f t="shared" si="9"/>
        <v>3</v>
      </c>
      <c r="E237" s="46">
        <v>3</v>
      </c>
      <c r="F237" s="46"/>
      <c r="G237" s="47">
        <f t="shared" si="12"/>
        <v>0</v>
      </c>
      <c r="H237" s="50">
        <v>400</v>
      </c>
      <c r="I237" s="35">
        <f t="shared" si="10"/>
        <v>0</v>
      </c>
      <c r="J237" s="46">
        <f t="shared" si="11"/>
        <v>5</v>
      </c>
      <c r="K237" s="46">
        <v>50</v>
      </c>
    </row>
    <row r="238" spans="1:11" x14ac:dyDescent="0.3">
      <c r="A238" s="46" t="s">
        <v>242</v>
      </c>
      <c r="B238" s="46">
        <v>68</v>
      </c>
      <c r="C238" s="46">
        <v>10</v>
      </c>
      <c r="D238" s="47">
        <f t="shared" si="9"/>
        <v>78</v>
      </c>
      <c r="E238" s="46">
        <v>38</v>
      </c>
      <c r="F238" s="46"/>
      <c r="G238" s="47">
        <f t="shared" si="12"/>
        <v>40</v>
      </c>
      <c r="H238" s="49">
        <v>350</v>
      </c>
      <c r="I238" s="35">
        <f t="shared" si="10"/>
        <v>14000</v>
      </c>
      <c r="J238" s="46">
        <f t="shared" si="11"/>
        <v>5</v>
      </c>
      <c r="K238" s="46">
        <v>50</v>
      </c>
    </row>
    <row r="239" spans="1:11" x14ac:dyDescent="0.3">
      <c r="A239" s="46" t="s">
        <v>135</v>
      </c>
      <c r="B239" s="46">
        <v>71</v>
      </c>
      <c r="C239" s="46">
        <v>100</v>
      </c>
      <c r="D239" s="47">
        <f t="shared" si="9"/>
        <v>171</v>
      </c>
      <c r="E239" s="46">
        <v>100</v>
      </c>
      <c r="F239" s="46"/>
      <c r="G239" s="47">
        <f t="shared" si="12"/>
        <v>71</v>
      </c>
      <c r="H239" s="49">
        <v>190</v>
      </c>
      <c r="I239" s="35">
        <f t="shared" si="10"/>
        <v>13490</v>
      </c>
      <c r="J239" s="46">
        <f t="shared" si="11"/>
        <v>1</v>
      </c>
      <c r="K239" s="46">
        <v>10</v>
      </c>
    </row>
    <row r="240" spans="1:11" x14ac:dyDescent="0.3">
      <c r="A240" s="46"/>
      <c r="B240" s="46"/>
      <c r="C240" s="46"/>
      <c r="D240" s="47">
        <f t="shared" si="9"/>
        <v>0</v>
      </c>
      <c r="E240" s="46"/>
      <c r="F240" s="46"/>
      <c r="G240" s="47">
        <f t="shared" si="12"/>
        <v>0</v>
      </c>
      <c r="H240" s="49">
        <v>600</v>
      </c>
      <c r="I240" s="35">
        <f t="shared" si="10"/>
        <v>0</v>
      </c>
      <c r="J240" s="46">
        <f t="shared" si="11"/>
        <v>10</v>
      </c>
      <c r="K240" s="46">
        <v>100</v>
      </c>
    </row>
    <row r="241" spans="1:11" x14ac:dyDescent="0.3">
      <c r="A241" s="46" t="s">
        <v>313</v>
      </c>
      <c r="B241" s="46"/>
      <c r="C241" s="46"/>
      <c r="D241" s="47">
        <f t="shared" si="9"/>
        <v>0</v>
      </c>
      <c r="E241" s="46"/>
      <c r="F241" s="46"/>
      <c r="G241" s="47">
        <f t="shared" si="12"/>
        <v>0</v>
      </c>
      <c r="H241" s="51">
        <v>500</v>
      </c>
      <c r="I241" s="35">
        <f t="shared" si="10"/>
        <v>0</v>
      </c>
      <c r="J241" s="46">
        <f t="shared" si="11"/>
        <v>100</v>
      </c>
      <c r="K241" s="46">
        <v>1000</v>
      </c>
    </row>
    <row r="242" spans="1:11" x14ac:dyDescent="0.3">
      <c r="A242" s="46" t="s">
        <v>314</v>
      </c>
      <c r="B242" s="46"/>
      <c r="C242" s="46"/>
      <c r="D242" s="47">
        <f t="shared" si="9"/>
        <v>0</v>
      </c>
      <c r="E242" s="46"/>
      <c r="F242" s="46"/>
      <c r="G242" s="47">
        <f t="shared" si="12"/>
        <v>0</v>
      </c>
      <c r="H242" s="51">
        <v>300</v>
      </c>
      <c r="I242" s="35">
        <f t="shared" si="10"/>
        <v>0</v>
      </c>
      <c r="J242" s="46">
        <f t="shared" si="11"/>
        <v>0</v>
      </c>
      <c r="K242" s="46"/>
    </row>
    <row r="243" spans="1:11" x14ac:dyDescent="0.3">
      <c r="A243" s="46" t="s">
        <v>315</v>
      </c>
      <c r="B243" s="46"/>
      <c r="C243" s="46"/>
      <c r="D243" s="47">
        <f t="shared" si="9"/>
        <v>0</v>
      </c>
      <c r="E243" s="46"/>
      <c r="F243" s="46"/>
      <c r="G243" s="47">
        <f t="shared" si="12"/>
        <v>0</v>
      </c>
      <c r="H243" s="51">
        <v>100</v>
      </c>
      <c r="I243" s="35">
        <f t="shared" si="10"/>
        <v>0</v>
      </c>
      <c r="J243" s="46">
        <f t="shared" si="11"/>
        <v>0</v>
      </c>
      <c r="K243" s="46"/>
    </row>
    <row r="244" spans="1:11" x14ac:dyDescent="0.3">
      <c r="A244" s="46" t="s">
        <v>316</v>
      </c>
      <c r="B244" s="46"/>
      <c r="C244" s="46"/>
      <c r="D244" s="47">
        <f t="shared" si="9"/>
        <v>0</v>
      </c>
      <c r="E244" s="46"/>
      <c r="F244" s="46"/>
      <c r="G244" s="47">
        <f t="shared" si="12"/>
        <v>0</v>
      </c>
      <c r="H244" s="51">
        <v>100</v>
      </c>
      <c r="I244" s="35"/>
      <c r="J244" s="46">
        <f t="shared" si="11"/>
        <v>50</v>
      </c>
      <c r="K244" s="46">
        <v>500</v>
      </c>
    </row>
    <row r="245" spans="1:11" x14ac:dyDescent="0.3">
      <c r="A245" s="46" t="s">
        <v>317</v>
      </c>
      <c r="B245" s="46"/>
      <c r="C245" s="46"/>
      <c r="D245" s="47">
        <f t="shared" ref="D245:D333" si="13">B245+C245</f>
        <v>0</v>
      </c>
      <c r="E245" s="46"/>
      <c r="F245" s="46"/>
      <c r="G245" s="47">
        <f t="shared" si="12"/>
        <v>0</v>
      </c>
      <c r="H245" s="51">
        <v>300</v>
      </c>
      <c r="I245" s="35">
        <f t="shared" si="10"/>
        <v>0</v>
      </c>
      <c r="J245" s="46">
        <f t="shared" si="11"/>
        <v>5</v>
      </c>
      <c r="K245" s="46">
        <v>50</v>
      </c>
    </row>
    <row r="246" spans="1:11" x14ac:dyDescent="0.3">
      <c r="A246" s="46" t="s">
        <v>318</v>
      </c>
      <c r="B246" s="46"/>
      <c r="C246" s="46"/>
      <c r="D246" s="47">
        <f t="shared" si="13"/>
        <v>0</v>
      </c>
      <c r="E246" s="46"/>
      <c r="F246" s="46"/>
      <c r="G246" s="47">
        <f t="shared" si="12"/>
        <v>0</v>
      </c>
      <c r="H246" s="51">
        <v>850</v>
      </c>
      <c r="I246" s="35">
        <f t="shared" si="10"/>
        <v>0</v>
      </c>
      <c r="J246" s="46">
        <f t="shared" si="11"/>
        <v>0</v>
      </c>
      <c r="K246" s="46"/>
    </row>
    <row r="247" spans="1:11" x14ac:dyDescent="0.3">
      <c r="A247" s="46" t="s">
        <v>319</v>
      </c>
      <c r="B247" s="46"/>
      <c r="C247" s="46"/>
      <c r="D247" s="47">
        <f t="shared" si="13"/>
        <v>0</v>
      </c>
      <c r="E247" s="46"/>
      <c r="F247" s="46"/>
      <c r="G247" s="47">
        <f t="shared" si="12"/>
        <v>0</v>
      </c>
      <c r="H247" s="51">
        <v>3000</v>
      </c>
      <c r="I247" s="35">
        <f t="shared" si="10"/>
        <v>0</v>
      </c>
      <c r="J247" s="46">
        <f t="shared" si="11"/>
        <v>5</v>
      </c>
      <c r="K247" s="46">
        <v>50</v>
      </c>
    </row>
    <row r="248" spans="1:11" x14ac:dyDescent="0.3">
      <c r="A248" s="46" t="s">
        <v>279</v>
      </c>
      <c r="B248" s="46"/>
      <c r="C248" s="46"/>
      <c r="D248" s="47">
        <f t="shared" si="13"/>
        <v>0</v>
      </c>
      <c r="E248" s="46"/>
      <c r="F248" s="46"/>
      <c r="G248" s="47">
        <f t="shared" si="12"/>
        <v>0</v>
      </c>
      <c r="H248" s="48">
        <v>300</v>
      </c>
      <c r="I248" s="35">
        <f t="shared" si="10"/>
        <v>0</v>
      </c>
      <c r="J248" s="46">
        <f t="shared" si="11"/>
        <v>2</v>
      </c>
      <c r="K248" s="46">
        <v>20</v>
      </c>
    </row>
    <row r="249" spans="1:11" x14ac:dyDescent="0.3">
      <c r="A249" s="46" t="s">
        <v>320</v>
      </c>
      <c r="B249" s="46"/>
      <c r="C249" s="46"/>
      <c r="D249" s="47">
        <f t="shared" si="13"/>
        <v>0</v>
      </c>
      <c r="E249" s="46"/>
      <c r="F249" s="46"/>
      <c r="G249" s="47">
        <f t="shared" si="12"/>
        <v>0</v>
      </c>
      <c r="H249" s="48">
        <v>850</v>
      </c>
      <c r="I249" s="35">
        <f t="shared" si="10"/>
        <v>0</v>
      </c>
      <c r="J249" s="46">
        <f t="shared" si="11"/>
        <v>0</v>
      </c>
      <c r="K249" s="46"/>
    </row>
    <row r="250" spans="1:11" x14ac:dyDescent="0.3">
      <c r="A250" s="46" t="s">
        <v>321</v>
      </c>
      <c r="B250" s="46"/>
      <c r="C250" s="46"/>
      <c r="D250" s="47">
        <f t="shared" si="13"/>
        <v>0</v>
      </c>
      <c r="E250" s="46"/>
      <c r="F250" s="46"/>
      <c r="G250" s="47">
        <f t="shared" si="12"/>
        <v>0</v>
      </c>
      <c r="H250" s="48">
        <v>650</v>
      </c>
      <c r="I250" s="35">
        <f t="shared" si="10"/>
        <v>0</v>
      </c>
      <c r="J250" s="46">
        <f t="shared" si="11"/>
        <v>5</v>
      </c>
      <c r="K250" s="46">
        <v>50</v>
      </c>
    </row>
    <row r="251" spans="1:11" x14ac:dyDescent="0.3">
      <c r="A251" s="46" t="s">
        <v>322</v>
      </c>
      <c r="B251" s="46"/>
      <c r="C251" s="46"/>
      <c r="D251" s="47">
        <f>B251+C251</f>
        <v>0</v>
      </c>
      <c r="E251" s="46"/>
      <c r="F251" s="46"/>
      <c r="G251" s="47">
        <f t="shared" si="12"/>
        <v>0</v>
      </c>
      <c r="H251" s="48">
        <v>1100</v>
      </c>
      <c r="I251" s="35">
        <f t="shared" si="10"/>
        <v>0</v>
      </c>
      <c r="J251" s="46">
        <f t="shared" si="11"/>
        <v>0</v>
      </c>
      <c r="K251" s="46"/>
    </row>
    <row r="252" spans="1:11" x14ac:dyDescent="0.3">
      <c r="A252" s="46" t="s">
        <v>323</v>
      </c>
      <c r="B252" s="46"/>
      <c r="C252" s="46"/>
      <c r="D252" s="47">
        <f t="shared" si="13"/>
        <v>0</v>
      </c>
      <c r="E252" s="46"/>
      <c r="F252" s="46"/>
      <c r="G252" s="47">
        <f t="shared" si="12"/>
        <v>0</v>
      </c>
      <c r="H252" s="48">
        <v>600</v>
      </c>
      <c r="I252" s="35">
        <f t="shared" si="10"/>
        <v>0</v>
      </c>
      <c r="J252" s="46">
        <f t="shared" si="11"/>
        <v>10</v>
      </c>
      <c r="K252" s="46">
        <v>100</v>
      </c>
    </row>
    <row r="253" spans="1:11" x14ac:dyDescent="0.3">
      <c r="A253" s="46" t="s">
        <v>324</v>
      </c>
      <c r="B253" s="46">
        <v>24</v>
      </c>
      <c r="C253" s="46">
        <v>20</v>
      </c>
      <c r="D253" s="47">
        <f t="shared" si="13"/>
        <v>44</v>
      </c>
      <c r="E253" s="46">
        <v>24</v>
      </c>
      <c r="F253" s="46"/>
      <c r="G253" s="47">
        <f t="shared" si="12"/>
        <v>20</v>
      </c>
      <c r="H253" s="48">
        <v>1400</v>
      </c>
      <c r="I253" s="35">
        <f t="shared" si="10"/>
        <v>28000</v>
      </c>
      <c r="J253" s="46">
        <f t="shared" si="11"/>
        <v>50</v>
      </c>
      <c r="K253" s="46">
        <v>500</v>
      </c>
    </row>
    <row r="254" spans="1:11" x14ac:dyDescent="0.3">
      <c r="A254" s="46" t="s">
        <v>325</v>
      </c>
      <c r="B254" s="46">
        <v>10</v>
      </c>
      <c r="C254" s="46">
        <v>20</v>
      </c>
      <c r="D254" s="47">
        <f t="shared" si="13"/>
        <v>30</v>
      </c>
      <c r="E254" s="46">
        <v>20</v>
      </c>
      <c r="F254" s="46"/>
      <c r="G254" s="47">
        <f t="shared" si="12"/>
        <v>10</v>
      </c>
      <c r="H254" s="48">
        <v>800</v>
      </c>
      <c r="I254" s="35">
        <f t="shared" si="10"/>
        <v>8000</v>
      </c>
      <c r="J254" s="46">
        <f t="shared" si="11"/>
        <v>0</v>
      </c>
      <c r="K254" s="46"/>
    </row>
    <row r="255" spans="1:11" x14ac:dyDescent="0.3">
      <c r="A255" s="46" t="s">
        <v>120</v>
      </c>
      <c r="B255" s="46"/>
      <c r="C255" s="46">
        <v>5</v>
      </c>
      <c r="D255" s="47">
        <f t="shared" si="13"/>
        <v>5</v>
      </c>
      <c r="E255" s="46">
        <v>2</v>
      </c>
      <c r="F255" s="46"/>
      <c r="G255" s="47">
        <f t="shared" si="12"/>
        <v>3</v>
      </c>
      <c r="H255" s="48">
        <v>750</v>
      </c>
      <c r="I255" s="35">
        <f t="shared" si="10"/>
        <v>2250</v>
      </c>
      <c r="J255" s="46">
        <f t="shared" si="11"/>
        <v>50</v>
      </c>
      <c r="K255" s="46">
        <v>500</v>
      </c>
    </row>
    <row r="256" spans="1:11" x14ac:dyDescent="0.3">
      <c r="A256" s="46" t="s">
        <v>326</v>
      </c>
      <c r="B256" s="46"/>
      <c r="C256" s="46"/>
      <c r="D256" s="47">
        <f t="shared" si="13"/>
        <v>0</v>
      </c>
      <c r="E256" s="46"/>
      <c r="F256" s="46"/>
      <c r="G256" s="47"/>
      <c r="H256" s="48">
        <v>1300</v>
      </c>
      <c r="I256" s="35">
        <f t="shared" si="10"/>
        <v>0</v>
      </c>
      <c r="J256" s="46">
        <f t="shared" si="11"/>
        <v>10</v>
      </c>
      <c r="K256" s="46">
        <v>100</v>
      </c>
    </row>
    <row r="257" spans="1:11" x14ac:dyDescent="0.3">
      <c r="A257" s="46" t="s">
        <v>327</v>
      </c>
      <c r="B257" s="46"/>
      <c r="C257" s="46">
        <v>15</v>
      </c>
      <c r="D257" s="47">
        <f t="shared" si="13"/>
        <v>15</v>
      </c>
      <c r="E257" s="46">
        <v>12</v>
      </c>
      <c r="F257" s="46"/>
      <c r="G257" s="47">
        <f t="shared" si="12"/>
        <v>3</v>
      </c>
      <c r="H257" s="48">
        <v>850</v>
      </c>
      <c r="I257" s="35">
        <f t="shared" si="10"/>
        <v>2550</v>
      </c>
      <c r="J257" s="46">
        <f t="shared" si="11"/>
        <v>0</v>
      </c>
      <c r="K257" s="46"/>
    </row>
    <row r="258" spans="1:11" x14ac:dyDescent="0.3">
      <c r="A258" s="46" t="s">
        <v>328</v>
      </c>
      <c r="B258" s="46"/>
      <c r="C258" s="46"/>
      <c r="D258" s="47">
        <f t="shared" si="13"/>
        <v>0</v>
      </c>
      <c r="E258" s="46"/>
      <c r="F258" s="46"/>
      <c r="G258" s="47">
        <f t="shared" si="12"/>
        <v>0</v>
      </c>
      <c r="H258" s="48">
        <v>520</v>
      </c>
      <c r="I258" s="35">
        <f t="shared" si="10"/>
        <v>0</v>
      </c>
      <c r="J258" s="46">
        <f t="shared" si="11"/>
        <v>5</v>
      </c>
      <c r="K258" s="46">
        <v>50</v>
      </c>
    </row>
    <row r="259" spans="1:11" x14ac:dyDescent="0.3">
      <c r="A259" s="46" t="s">
        <v>275</v>
      </c>
      <c r="B259" s="46"/>
      <c r="C259" s="46"/>
      <c r="D259" s="47">
        <f t="shared" si="13"/>
        <v>0</v>
      </c>
      <c r="E259" s="46"/>
      <c r="F259" s="46"/>
      <c r="G259" s="47">
        <f t="shared" si="12"/>
        <v>0</v>
      </c>
      <c r="H259" s="48">
        <v>500</v>
      </c>
      <c r="I259" s="35">
        <f t="shared" si="10"/>
        <v>0</v>
      </c>
      <c r="J259" s="46">
        <f t="shared" si="11"/>
        <v>3</v>
      </c>
      <c r="K259" s="46">
        <v>30</v>
      </c>
    </row>
    <row r="260" spans="1:11" x14ac:dyDescent="0.3">
      <c r="A260" s="46" t="s">
        <v>275</v>
      </c>
      <c r="B260" s="46"/>
      <c r="C260" s="46"/>
      <c r="D260" s="47">
        <f t="shared" si="13"/>
        <v>0</v>
      </c>
      <c r="E260" s="46"/>
      <c r="F260" s="46"/>
      <c r="G260" s="47">
        <f t="shared" si="12"/>
        <v>0</v>
      </c>
      <c r="H260" s="48">
        <v>800</v>
      </c>
      <c r="I260" s="35">
        <f t="shared" si="10"/>
        <v>0</v>
      </c>
      <c r="J260" s="46">
        <f t="shared" si="11"/>
        <v>0</v>
      </c>
      <c r="K260" s="46"/>
    </row>
    <row r="261" spans="1:11" x14ac:dyDescent="0.3">
      <c r="A261" s="46" t="s">
        <v>329</v>
      </c>
      <c r="B261" s="46"/>
      <c r="C261" s="46"/>
      <c r="D261" s="47">
        <f t="shared" si="13"/>
        <v>0</v>
      </c>
      <c r="E261" s="46"/>
      <c r="F261" s="46"/>
      <c r="G261" s="47">
        <f t="shared" si="12"/>
        <v>0</v>
      </c>
      <c r="H261" s="48">
        <v>550</v>
      </c>
      <c r="I261" s="35">
        <f t="shared" si="10"/>
        <v>0</v>
      </c>
      <c r="J261" s="46">
        <f t="shared" si="11"/>
        <v>10</v>
      </c>
      <c r="K261" s="46">
        <v>100</v>
      </c>
    </row>
    <row r="262" spans="1:11" x14ac:dyDescent="0.3">
      <c r="A262" s="46" t="s">
        <v>330</v>
      </c>
      <c r="B262" s="46"/>
      <c r="C262" s="46"/>
      <c r="D262" s="47">
        <f t="shared" si="13"/>
        <v>0</v>
      </c>
      <c r="E262" s="46"/>
      <c r="F262" s="46"/>
      <c r="G262" s="47">
        <f t="shared" si="12"/>
        <v>0</v>
      </c>
      <c r="H262" s="48">
        <v>350</v>
      </c>
      <c r="I262" s="35">
        <f t="shared" si="10"/>
        <v>0</v>
      </c>
      <c r="J262" s="46">
        <f t="shared" si="11"/>
        <v>0</v>
      </c>
      <c r="K262" s="46"/>
    </row>
    <row r="263" spans="1:11" x14ac:dyDescent="0.3">
      <c r="A263" s="46" t="s">
        <v>331</v>
      </c>
      <c r="B263" s="46"/>
      <c r="C263" s="46"/>
      <c r="D263" s="47">
        <f t="shared" si="13"/>
        <v>0</v>
      </c>
      <c r="E263" s="46"/>
      <c r="F263" s="46"/>
      <c r="G263" s="47">
        <f t="shared" si="12"/>
        <v>0</v>
      </c>
      <c r="H263" s="48">
        <v>400</v>
      </c>
      <c r="I263" s="35">
        <f t="shared" si="10"/>
        <v>0</v>
      </c>
      <c r="J263" s="46">
        <f t="shared" si="11"/>
        <v>0</v>
      </c>
      <c r="K263" s="46"/>
    </row>
    <row r="264" spans="1:11" x14ac:dyDescent="0.3">
      <c r="A264" s="46"/>
      <c r="B264" s="46"/>
      <c r="C264" s="46"/>
      <c r="D264" s="47"/>
      <c r="E264" s="46"/>
      <c r="F264" s="46"/>
      <c r="G264" s="47"/>
      <c r="H264" s="48"/>
      <c r="I264" s="35"/>
      <c r="J264" s="46">
        <f t="shared" si="11"/>
        <v>1</v>
      </c>
      <c r="K264" s="46">
        <v>10</v>
      </c>
    </row>
    <row r="265" spans="1:11" x14ac:dyDescent="0.3">
      <c r="A265" s="42" t="s">
        <v>332</v>
      </c>
      <c r="B265" s="46"/>
      <c r="C265" s="46"/>
      <c r="D265" s="47">
        <f t="shared" si="13"/>
        <v>0</v>
      </c>
      <c r="E265" s="46"/>
      <c r="F265" s="46"/>
      <c r="G265" s="47">
        <f t="shared" si="12"/>
        <v>0</v>
      </c>
      <c r="H265" s="48"/>
      <c r="I265" s="35">
        <f t="shared" si="10"/>
        <v>0</v>
      </c>
      <c r="J265" s="46">
        <f t="shared" si="11"/>
        <v>1</v>
      </c>
      <c r="K265" s="46">
        <v>10</v>
      </c>
    </row>
    <row r="266" spans="1:11" x14ac:dyDescent="0.3">
      <c r="A266" s="46" t="s">
        <v>333</v>
      </c>
      <c r="B266" s="46">
        <v>58</v>
      </c>
      <c r="C266" s="46">
        <v>20</v>
      </c>
      <c r="D266" s="47">
        <f t="shared" si="13"/>
        <v>78</v>
      </c>
      <c r="E266" s="46">
        <v>14</v>
      </c>
      <c r="F266" s="46"/>
      <c r="G266" s="47">
        <f t="shared" si="12"/>
        <v>64</v>
      </c>
      <c r="H266" s="48">
        <v>800</v>
      </c>
      <c r="I266" s="35">
        <f t="shared" si="10"/>
        <v>51200</v>
      </c>
      <c r="J266" s="46"/>
      <c r="K266" s="46"/>
    </row>
    <row r="267" spans="1:11" x14ac:dyDescent="0.3">
      <c r="A267" s="46" t="s">
        <v>334</v>
      </c>
      <c r="B267" s="46">
        <v>1</v>
      </c>
      <c r="C267" s="46"/>
      <c r="D267" s="47">
        <f t="shared" si="13"/>
        <v>1</v>
      </c>
      <c r="E267" s="46">
        <v>1</v>
      </c>
      <c r="F267" s="46"/>
      <c r="G267" s="47">
        <f t="shared" si="12"/>
        <v>0</v>
      </c>
      <c r="H267" s="48">
        <v>800</v>
      </c>
      <c r="I267" s="35">
        <f t="shared" si="10"/>
        <v>0</v>
      </c>
      <c r="J267" s="46">
        <f t="shared" si="11"/>
        <v>0</v>
      </c>
      <c r="K267" s="46"/>
    </row>
    <row r="268" spans="1:11" x14ac:dyDescent="0.3">
      <c r="A268" s="46" t="s">
        <v>335</v>
      </c>
      <c r="B268" s="46"/>
      <c r="C268" s="46">
        <v>60</v>
      </c>
      <c r="D268" s="47">
        <f t="shared" si="13"/>
        <v>60</v>
      </c>
      <c r="E268" s="46">
        <v>3</v>
      </c>
      <c r="F268" s="46"/>
      <c r="G268" s="47">
        <f t="shared" si="12"/>
        <v>57</v>
      </c>
      <c r="H268" s="48">
        <v>800</v>
      </c>
      <c r="I268" s="35">
        <f t="shared" si="10"/>
        <v>45600</v>
      </c>
      <c r="J268" s="46">
        <f t="shared" si="11"/>
        <v>20</v>
      </c>
      <c r="K268" s="46">
        <v>200</v>
      </c>
    </row>
    <row r="269" spans="1:11" x14ac:dyDescent="0.3">
      <c r="A269" s="46" t="s">
        <v>336</v>
      </c>
      <c r="B269" s="46">
        <v>38</v>
      </c>
      <c r="C269" s="46">
        <v>20</v>
      </c>
      <c r="D269" s="47">
        <f t="shared" si="13"/>
        <v>58</v>
      </c>
      <c r="E269" s="46">
        <v>42</v>
      </c>
      <c r="F269" s="46"/>
      <c r="G269" s="47">
        <f t="shared" si="12"/>
        <v>16</v>
      </c>
      <c r="H269" s="49">
        <v>700</v>
      </c>
      <c r="I269" s="35">
        <f t="shared" si="10"/>
        <v>11200</v>
      </c>
      <c r="J269" s="46">
        <f t="shared" si="11"/>
        <v>10</v>
      </c>
      <c r="K269" s="46">
        <v>100</v>
      </c>
    </row>
    <row r="270" spans="1:11" x14ac:dyDescent="0.3">
      <c r="A270" s="46" t="s">
        <v>337</v>
      </c>
      <c r="B270" s="46">
        <v>4</v>
      </c>
      <c r="C270" s="46">
        <v>20</v>
      </c>
      <c r="D270" s="47">
        <f t="shared" si="13"/>
        <v>24</v>
      </c>
      <c r="E270" s="46">
        <v>7</v>
      </c>
      <c r="F270" s="46"/>
      <c r="G270" s="47">
        <f t="shared" si="12"/>
        <v>17</v>
      </c>
      <c r="H270" s="49">
        <v>700</v>
      </c>
      <c r="I270" s="35">
        <f t="shared" si="10"/>
        <v>11900</v>
      </c>
      <c r="J270" s="46">
        <f t="shared" si="11"/>
        <v>40</v>
      </c>
      <c r="K270" s="46">
        <v>400</v>
      </c>
    </row>
    <row r="271" spans="1:11" x14ac:dyDescent="0.3">
      <c r="A271" s="46" t="s">
        <v>338</v>
      </c>
      <c r="B271" s="46">
        <v>38</v>
      </c>
      <c r="C271" s="46"/>
      <c r="D271" s="47">
        <f t="shared" si="13"/>
        <v>38</v>
      </c>
      <c r="E271" s="46">
        <v>20</v>
      </c>
      <c r="F271" s="46"/>
      <c r="G271" s="47">
        <f t="shared" si="12"/>
        <v>18</v>
      </c>
      <c r="H271" s="49">
        <v>700</v>
      </c>
      <c r="I271" s="35">
        <f t="shared" si="10"/>
        <v>12600</v>
      </c>
      <c r="J271" s="46">
        <f t="shared" si="11"/>
        <v>8</v>
      </c>
      <c r="K271" s="46">
        <v>80</v>
      </c>
    </row>
    <row r="272" spans="1:11" x14ac:dyDescent="0.3">
      <c r="A272" s="46" t="s">
        <v>339</v>
      </c>
      <c r="B272" s="46">
        <v>30</v>
      </c>
      <c r="C272" s="46">
        <v>10</v>
      </c>
      <c r="D272" s="47">
        <f t="shared" si="13"/>
        <v>40</v>
      </c>
      <c r="E272" s="46">
        <v>15</v>
      </c>
      <c r="F272" s="46"/>
      <c r="G272" s="47">
        <f t="shared" si="12"/>
        <v>25</v>
      </c>
      <c r="H272" s="49">
        <v>400</v>
      </c>
      <c r="I272" s="35">
        <f t="shared" si="10"/>
        <v>10000</v>
      </c>
      <c r="J272" s="46">
        <f t="shared" si="11"/>
        <v>8</v>
      </c>
      <c r="K272" s="46">
        <v>80</v>
      </c>
    </row>
    <row r="273" spans="1:11" x14ac:dyDescent="0.3">
      <c r="A273" s="46" t="s">
        <v>340</v>
      </c>
      <c r="B273" s="46">
        <v>35</v>
      </c>
      <c r="C273" s="46"/>
      <c r="D273" s="47">
        <f t="shared" si="13"/>
        <v>35</v>
      </c>
      <c r="E273" s="46">
        <v>21</v>
      </c>
      <c r="F273" s="46"/>
      <c r="G273" s="47">
        <f t="shared" si="12"/>
        <v>14</v>
      </c>
      <c r="H273" s="49">
        <v>400</v>
      </c>
      <c r="I273" s="35">
        <f t="shared" si="10"/>
        <v>5600</v>
      </c>
      <c r="J273" s="46">
        <f t="shared" si="11"/>
        <v>8</v>
      </c>
      <c r="K273" s="46">
        <v>80</v>
      </c>
    </row>
    <row r="274" spans="1:11" x14ac:dyDescent="0.3">
      <c r="A274" s="46" t="s">
        <v>341</v>
      </c>
      <c r="B274" s="46">
        <v>21</v>
      </c>
      <c r="C274" s="46"/>
      <c r="D274" s="47">
        <f t="shared" si="13"/>
        <v>21</v>
      </c>
      <c r="E274" s="46">
        <v>10</v>
      </c>
      <c r="F274" s="46"/>
      <c r="G274" s="47">
        <f t="shared" si="12"/>
        <v>11</v>
      </c>
      <c r="H274" s="48">
        <v>600</v>
      </c>
      <c r="I274" s="35">
        <f t="shared" si="10"/>
        <v>6600</v>
      </c>
      <c r="J274" s="46">
        <f t="shared" si="11"/>
        <v>50</v>
      </c>
      <c r="K274" s="46">
        <v>500</v>
      </c>
    </row>
    <row r="275" spans="1:11" x14ac:dyDescent="0.3">
      <c r="A275" s="46" t="s">
        <v>342</v>
      </c>
      <c r="B275" s="46">
        <v>10</v>
      </c>
      <c r="C275" s="46"/>
      <c r="D275" s="47">
        <f t="shared" si="13"/>
        <v>10</v>
      </c>
      <c r="E275" s="46">
        <v>5</v>
      </c>
      <c r="F275" s="46"/>
      <c r="G275" s="47">
        <f t="shared" si="12"/>
        <v>5</v>
      </c>
      <c r="H275" s="48">
        <v>740</v>
      </c>
      <c r="I275" s="35">
        <f t="shared" si="10"/>
        <v>3700</v>
      </c>
      <c r="J275" s="46">
        <f t="shared" si="11"/>
        <v>20</v>
      </c>
      <c r="K275" s="46">
        <v>200</v>
      </c>
    </row>
    <row r="276" spans="1:11" x14ac:dyDescent="0.3">
      <c r="A276" s="46" t="s">
        <v>343</v>
      </c>
      <c r="B276" s="46">
        <v>9</v>
      </c>
      <c r="C276" s="46">
        <v>20</v>
      </c>
      <c r="D276" s="47">
        <f t="shared" si="13"/>
        <v>29</v>
      </c>
      <c r="E276" s="46">
        <v>21</v>
      </c>
      <c r="F276" s="46"/>
      <c r="G276" s="47">
        <f t="shared" si="12"/>
        <v>8</v>
      </c>
      <c r="H276" s="48">
        <v>700</v>
      </c>
      <c r="I276" s="35">
        <f t="shared" si="10"/>
        <v>5600</v>
      </c>
      <c r="J276" s="46">
        <f t="shared" si="11"/>
        <v>6</v>
      </c>
      <c r="K276" s="46">
        <v>60</v>
      </c>
    </row>
    <row r="277" spans="1:11" x14ac:dyDescent="0.3">
      <c r="A277" s="46" t="s">
        <v>344</v>
      </c>
      <c r="B277" s="46">
        <v>2</v>
      </c>
      <c r="C277" s="46">
        <v>20</v>
      </c>
      <c r="D277" s="47">
        <f t="shared" si="13"/>
        <v>22</v>
      </c>
      <c r="E277" s="46">
        <v>13</v>
      </c>
      <c r="F277" s="46"/>
      <c r="G277" s="47">
        <f t="shared" si="12"/>
        <v>9</v>
      </c>
      <c r="H277" s="48">
        <v>700</v>
      </c>
      <c r="I277" s="35">
        <f t="shared" si="10"/>
        <v>6300</v>
      </c>
      <c r="J277" s="46">
        <f t="shared" si="11"/>
        <v>6</v>
      </c>
      <c r="K277" s="46">
        <v>60</v>
      </c>
    </row>
    <row r="278" spans="1:11" x14ac:dyDescent="0.3">
      <c r="A278" s="46" t="s">
        <v>345</v>
      </c>
      <c r="B278" s="46">
        <v>3</v>
      </c>
      <c r="C278" s="46">
        <v>20</v>
      </c>
      <c r="D278" s="47">
        <f t="shared" si="13"/>
        <v>23</v>
      </c>
      <c r="E278" s="46">
        <v>10</v>
      </c>
      <c r="F278" s="46"/>
      <c r="G278" s="47">
        <f t="shared" si="12"/>
        <v>13</v>
      </c>
      <c r="H278" s="48">
        <v>250</v>
      </c>
      <c r="I278" s="35">
        <f t="shared" si="10"/>
        <v>3250</v>
      </c>
      <c r="J278" s="46">
        <f t="shared" si="11"/>
        <v>4</v>
      </c>
      <c r="K278" s="46">
        <v>40</v>
      </c>
    </row>
    <row r="279" spans="1:11" x14ac:dyDescent="0.3">
      <c r="A279" s="46" t="s">
        <v>346</v>
      </c>
      <c r="B279" s="46">
        <v>10</v>
      </c>
      <c r="C279" s="46"/>
      <c r="D279" s="47">
        <f t="shared" si="13"/>
        <v>10</v>
      </c>
      <c r="E279" s="46">
        <v>1</v>
      </c>
      <c r="F279" s="46"/>
      <c r="G279" s="47">
        <f t="shared" si="12"/>
        <v>9</v>
      </c>
      <c r="H279" s="48">
        <v>600</v>
      </c>
      <c r="I279" s="35">
        <f t="shared" si="10"/>
        <v>5400</v>
      </c>
      <c r="J279" s="46">
        <f t="shared" si="11"/>
        <v>4</v>
      </c>
      <c r="K279" s="46">
        <v>40</v>
      </c>
    </row>
    <row r="280" spans="1:11" x14ac:dyDescent="0.3">
      <c r="A280" s="46" t="s">
        <v>347</v>
      </c>
      <c r="B280" s="46"/>
      <c r="C280" s="46"/>
      <c r="D280" s="47">
        <f t="shared" si="13"/>
        <v>0</v>
      </c>
      <c r="E280" s="46"/>
      <c r="F280" s="46"/>
      <c r="G280" s="47">
        <f t="shared" si="12"/>
        <v>0</v>
      </c>
      <c r="H280" s="48">
        <v>20000</v>
      </c>
      <c r="I280" s="35">
        <f t="shared" si="10"/>
        <v>0</v>
      </c>
      <c r="J280" s="46">
        <f t="shared" si="11"/>
        <v>5</v>
      </c>
      <c r="K280" s="46">
        <v>50</v>
      </c>
    </row>
    <row r="281" spans="1:11" x14ac:dyDescent="0.3">
      <c r="A281" s="46"/>
      <c r="B281" s="46"/>
      <c r="C281" s="46"/>
      <c r="D281" s="47"/>
      <c r="E281" s="46"/>
      <c r="F281" s="46"/>
      <c r="G281" s="47"/>
      <c r="H281" s="48"/>
      <c r="I281" s="35"/>
      <c r="J281" s="46">
        <f t="shared" ref="J281:J344" si="14">K281/10</f>
        <v>20</v>
      </c>
      <c r="K281" s="46">
        <v>200</v>
      </c>
    </row>
    <row r="282" spans="1:11" x14ac:dyDescent="0.3">
      <c r="A282" s="42" t="s">
        <v>348</v>
      </c>
      <c r="B282" s="46"/>
      <c r="C282" s="46"/>
      <c r="D282" s="47"/>
      <c r="E282" s="46"/>
      <c r="F282" s="46"/>
      <c r="G282" s="47">
        <f t="shared" si="12"/>
        <v>0</v>
      </c>
      <c r="H282" s="48">
        <v>6000</v>
      </c>
      <c r="I282" s="35">
        <f t="shared" si="10"/>
        <v>0</v>
      </c>
      <c r="J282" s="46">
        <f t="shared" si="14"/>
        <v>0</v>
      </c>
      <c r="K282" s="46"/>
    </row>
    <row r="283" spans="1:11" x14ac:dyDescent="0.3">
      <c r="A283" s="46" t="s">
        <v>349</v>
      </c>
      <c r="B283" s="46"/>
      <c r="C283" s="46"/>
      <c r="D283" s="47">
        <f t="shared" si="13"/>
        <v>0</v>
      </c>
      <c r="E283" s="46"/>
      <c r="F283" s="46"/>
      <c r="G283" s="47">
        <f t="shared" si="12"/>
        <v>0</v>
      </c>
      <c r="H283" s="48">
        <v>280</v>
      </c>
      <c r="I283" s="35">
        <f t="shared" si="10"/>
        <v>0</v>
      </c>
      <c r="J283" s="46">
        <f t="shared" si="14"/>
        <v>0</v>
      </c>
      <c r="K283" s="46"/>
    </row>
    <row r="284" spans="1:11" x14ac:dyDescent="0.3">
      <c r="A284" s="46" t="s">
        <v>350</v>
      </c>
      <c r="B284" s="46"/>
      <c r="C284" s="46"/>
      <c r="D284" s="47">
        <f t="shared" si="13"/>
        <v>0</v>
      </c>
      <c r="E284" s="46"/>
      <c r="F284" s="46"/>
      <c r="G284" s="47">
        <f t="shared" si="12"/>
        <v>0</v>
      </c>
      <c r="H284" s="48">
        <v>2200</v>
      </c>
      <c r="I284" s="35">
        <f t="shared" si="10"/>
        <v>0</v>
      </c>
      <c r="J284" s="46">
        <f t="shared" si="14"/>
        <v>0</v>
      </c>
      <c r="K284" s="46"/>
    </row>
    <row r="285" spans="1:11" x14ac:dyDescent="0.3">
      <c r="A285" s="46" t="s">
        <v>351</v>
      </c>
      <c r="B285" s="46"/>
      <c r="C285" s="46"/>
      <c r="D285" s="47">
        <f t="shared" si="13"/>
        <v>0</v>
      </c>
      <c r="E285" s="46"/>
      <c r="F285" s="46"/>
      <c r="G285" s="47">
        <f t="shared" si="12"/>
        <v>0</v>
      </c>
      <c r="H285" s="48">
        <v>1500</v>
      </c>
      <c r="I285" s="35">
        <f t="shared" si="10"/>
        <v>0</v>
      </c>
      <c r="J285" s="46">
        <f t="shared" si="14"/>
        <v>10</v>
      </c>
      <c r="K285" s="46">
        <v>100</v>
      </c>
    </row>
    <row r="286" spans="1:11" x14ac:dyDescent="0.3">
      <c r="A286" s="46" t="s">
        <v>352</v>
      </c>
      <c r="B286" s="46"/>
      <c r="C286" s="46"/>
      <c r="D286" s="47">
        <f t="shared" si="13"/>
        <v>0</v>
      </c>
      <c r="E286" s="46"/>
      <c r="F286" s="46"/>
      <c r="G286" s="47">
        <f t="shared" si="12"/>
        <v>0</v>
      </c>
      <c r="H286" s="48"/>
      <c r="I286" s="35">
        <f t="shared" si="10"/>
        <v>0</v>
      </c>
      <c r="J286" s="46">
        <f t="shared" si="14"/>
        <v>1</v>
      </c>
      <c r="K286" s="46">
        <v>10</v>
      </c>
    </row>
    <row r="287" spans="1:11" x14ac:dyDescent="0.3">
      <c r="A287" s="46" t="s">
        <v>353</v>
      </c>
      <c r="B287" s="46"/>
      <c r="C287" s="46"/>
      <c r="D287" s="47">
        <f t="shared" si="13"/>
        <v>0</v>
      </c>
      <c r="E287" s="46"/>
      <c r="F287" s="46"/>
      <c r="G287" s="47">
        <f t="shared" si="12"/>
        <v>0</v>
      </c>
      <c r="H287" s="48">
        <v>1000</v>
      </c>
      <c r="I287" s="35">
        <f t="shared" si="10"/>
        <v>0</v>
      </c>
      <c r="J287" s="46">
        <f t="shared" si="14"/>
        <v>0.5</v>
      </c>
      <c r="K287" s="46">
        <v>5</v>
      </c>
    </row>
    <row r="288" spans="1:11" x14ac:dyDescent="0.3">
      <c r="A288" s="46" t="s">
        <v>354</v>
      </c>
      <c r="B288" s="46"/>
      <c r="C288" s="46"/>
      <c r="D288" s="47">
        <f t="shared" si="13"/>
        <v>0</v>
      </c>
      <c r="E288" s="46"/>
      <c r="F288" s="46"/>
      <c r="G288" s="47">
        <f t="shared" si="12"/>
        <v>0</v>
      </c>
      <c r="H288" s="48"/>
      <c r="I288" s="35">
        <f t="shared" si="10"/>
        <v>0</v>
      </c>
      <c r="J288" s="46">
        <f t="shared" si="14"/>
        <v>1</v>
      </c>
      <c r="K288" s="46">
        <v>10</v>
      </c>
    </row>
    <row r="289" spans="1:11" x14ac:dyDescent="0.3">
      <c r="A289" s="46" t="s">
        <v>355</v>
      </c>
      <c r="B289" s="46"/>
      <c r="C289" s="46"/>
      <c r="D289" s="47">
        <f t="shared" si="13"/>
        <v>0</v>
      </c>
      <c r="E289" s="46"/>
      <c r="F289" s="46"/>
      <c r="G289" s="47">
        <f t="shared" si="12"/>
        <v>0</v>
      </c>
      <c r="H289" s="48">
        <v>200</v>
      </c>
      <c r="I289" s="35">
        <f t="shared" si="10"/>
        <v>0</v>
      </c>
      <c r="J289" s="46">
        <f t="shared" si="14"/>
        <v>0</v>
      </c>
      <c r="K289" s="46"/>
    </row>
    <row r="290" spans="1:11" x14ac:dyDescent="0.3">
      <c r="A290" s="46" t="s">
        <v>356</v>
      </c>
      <c r="B290" s="46"/>
      <c r="C290" s="46"/>
      <c r="D290" s="47">
        <f t="shared" si="13"/>
        <v>0</v>
      </c>
      <c r="E290" s="46"/>
      <c r="F290" s="46"/>
      <c r="G290" s="47">
        <f t="shared" si="12"/>
        <v>0</v>
      </c>
      <c r="H290" s="48">
        <v>6500</v>
      </c>
      <c r="I290" s="35">
        <f t="shared" si="10"/>
        <v>0</v>
      </c>
      <c r="J290" s="46">
        <f t="shared" si="14"/>
        <v>1</v>
      </c>
      <c r="K290" s="46">
        <v>10</v>
      </c>
    </row>
    <row r="291" spans="1:11" x14ac:dyDescent="0.3">
      <c r="A291" s="46" t="s">
        <v>357</v>
      </c>
      <c r="B291" s="46"/>
      <c r="C291" s="46"/>
      <c r="D291" s="47">
        <f t="shared" si="13"/>
        <v>0</v>
      </c>
      <c r="E291" s="46"/>
      <c r="F291" s="46"/>
      <c r="G291" s="47">
        <f t="shared" si="12"/>
        <v>0</v>
      </c>
      <c r="H291" s="48">
        <v>2000</v>
      </c>
      <c r="I291" s="35">
        <f t="shared" si="10"/>
        <v>0</v>
      </c>
      <c r="J291" s="46">
        <f t="shared" si="14"/>
        <v>20</v>
      </c>
      <c r="K291" s="46">
        <v>200</v>
      </c>
    </row>
    <row r="292" spans="1:11" x14ac:dyDescent="0.3">
      <c r="A292" s="46" t="s">
        <v>358</v>
      </c>
      <c r="B292" s="46"/>
      <c r="C292" s="46"/>
      <c r="D292" s="47">
        <f t="shared" si="13"/>
        <v>0</v>
      </c>
      <c r="E292" s="46"/>
      <c r="F292" s="46"/>
      <c r="G292" s="47">
        <f t="shared" si="12"/>
        <v>0</v>
      </c>
      <c r="H292" s="48">
        <v>700</v>
      </c>
      <c r="I292" s="35">
        <f t="shared" si="10"/>
        <v>0</v>
      </c>
      <c r="J292" s="46">
        <f t="shared" si="14"/>
        <v>10</v>
      </c>
      <c r="K292" s="46">
        <v>100</v>
      </c>
    </row>
    <row r="293" spans="1:11" x14ac:dyDescent="0.3">
      <c r="A293" s="46" t="s">
        <v>359</v>
      </c>
      <c r="B293" s="46"/>
      <c r="C293" s="46"/>
      <c r="D293" s="47">
        <f t="shared" si="13"/>
        <v>0</v>
      </c>
      <c r="E293" s="46"/>
      <c r="F293" s="46"/>
      <c r="G293" s="47">
        <f t="shared" si="12"/>
        <v>0</v>
      </c>
      <c r="H293" s="48">
        <v>6000</v>
      </c>
      <c r="I293" s="35">
        <f t="shared" si="10"/>
        <v>0</v>
      </c>
      <c r="J293" s="46">
        <f t="shared" si="14"/>
        <v>1</v>
      </c>
      <c r="K293" s="46">
        <v>10</v>
      </c>
    </row>
    <row r="294" spans="1:11" x14ac:dyDescent="0.3">
      <c r="A294" s="46" t="s">
        <v>360</v>
      </c>
      <c r="B294" s="46"/>
      <c r="C294" s="46"/>
      <c r="D294" s="47">
        <f t="shared" si="13"/>
        <v>0</v>
      </c>
      <c r="E294" s="46"/>
      <c r="F294" s="46"/>
      <c r="G294" s="47">
        <f t="shared" si="12"/>
        <v>0</v>
      </c>
      <c r="H294" s="48">
        <v>65</v>
      </c>
      <c r="I294" s="35">
        <f t="shared" si="10"/>
        <v>0</v>
      </c>
      <c r="J294" s="46">
        <f t="shared" si="14"/>
        <v>0</v>
      </c>
      <c r="K294" s="46"/>
    </row>
    <row r="295" spans="1:11" x14ac:dyDescent="0.3">
      <c r="A295" s="46" t="s">
        <v>361</v>
      </c>
      <c r="B295" s="46"/>
      <c r="C295" s="46"/>
      <c r="D295" s="47">
        <f t="shared" si="13"/>
        <v>0</v>
      </c>
      <c r="E295" s="46"/>
      <c r="F295" s="46"/>
      <c r="G295" s="47">
        <f t="shared" si="12"/>
        <v>0</v>
      </c>
      <c r="H295" s="48">
        <v>38000</v>
      </c>
      <c r="I295" s="35">
        <f t="shared" ref="I295:I378" si="15">G295*H295</f>
        <v>0</v>
      </c>
      <c r="J295" s="46">
        <f t="shared" si="14"/>
        <v>0</v>
      </c>
      <c r="K295" s="46"/>
    </row>
    <row r="296" spans="1:11" x14ac:dyDescent="0.3">
      <c r="A296" s="46" t="s">
        <v>362</v>
      </c>
      <c r="B296" s="46"/>
      <c r="C296" s="46"/>
      <c r="D296" s="47">
        <f t="shared" si="13"/>
        <v>0</v>
      </c>
      <c r="E296" s="46"/>
      <c r="F296" s="46"/>
      <c r="G296" s="47">
        <f t="shared" si="12"/>
        <v>0</v>
      </c>
      <c r="H296" s="48">
        <v>800</v>
      </c>
      <c r="I296" s="35">
        <f t="shared" si="15"/>
        <v>0</v>
      </c>
      <c r="J296" s="46">
        <f t="shared" si="14"/>
        <v>0</v>
      </c>
      <c r="K296" s="46"/>
    </row>
    <row r="297" spans="1:11" x14ac:dyDescent="0.3">
      <c r="A297" s="46" t="s">
        <v>363</v>
      </c>
      <c r="B297" s="46"/>
      <c r="C297" s="46"/>
      <c r="D297" s="47">
        <f t="shared" si="13"/>
        <v>0</v>
      </c>
      <c r="E297" s="46"/>
      <c r="F297" s="46"/>
      <c r="G297" s="47">
        <f t="shared" si="12"/>
        <v>0</v>
      </c>
      <c r="H297" s="48">
        <v>220</v>
      </c>
      <c r="I297" s="35">
        <f t="shared" si="15"/>
        <v>0</v>
      </c>
      <c r="J297" s="46">
        <f t="shared" si="14"/>
        <v>0</v>
      </c>
      <c r="K297" s="46"/>
    </row>
    <row r="298" spans="1:11" x14ac:dyDescent="0.3">
      <c r="A298" s="46" t="s">
        <v>364</v>
      </c>
      <c r="B298" s="46"/>
      <c r="C298" s="46"/>
      <c r="D298" s="47">
        <f t="shared" si="13"/>
        <v>0</v>
      </c>
      <c r="E298" s="46"/>
      <c r="F298" s="46"/>
      <c r="G298" s="47">
        <f t="shared" si="12"/>
        <v>0</v>
      </c>
      <c r="H298" s="48">
        <v>1900</v>
      </c>
      <c r="I298" s="35">
        <f t="shared" si="15"/>
        <v>0</v>
      </c>
      <c r="J298" s="46">
        <f t="shared" si="14"/>
        <v>0</v>
      </c>
      <c r="K298" s="46"/>
    </row>
    <row r="299" spans="1:11" x14ac:dyDescent="0.3">
      <c r="A299" s="46" t="s">
        <v>365</v>
      </c>
      <c r="B299" s="46"/>
      <c r="C299" s="46"/>
      <c r="D299" s="47">
        <f t="shared" si="13"/>
        <v>0</v>
      </c>
      <c r="E299" s="46"/>
      <c r="F299" s="46"/>
      <c r="G299" s="47">
        <f t="shared" si="12"/>
        <v>0</v>
      </c>
      <c r="H299" s="48">
        <v>3000</v>
      </c>
      <c r="I299" s="35">
        <f t="shared" si="15"/>
        <v>0</v>
      </c>
      <c r="J299" s="46">
        <f t="shared" si="14"/>
        <v>0</v>
      </c>
      <c r="K299" s="46"/>
    </row>
    <row r="300" spans="1:11" x14ac:dyDescent="0.3">
      <c r="A300" s="46" t="s">
        <v>366</v>
      </c>
      <c r="B300" s="46"/>
      <c r="C300" s="46"/>
      <c r="D300" s="47">
        <f t="shared" si="13"/>
        <v>0</v>
      </c>
      <c r="E300" s="46"/>
      <c r="F300" s="46"/>
      <c r="G300" s="47">
        <f t="shared" si="12"/>
        <v>0</v>
      </c>
      <c r="H300" s="48">
        <v>3000</v>
      </c>
      <c r="I300" s="35">
        <f t="shared" si="15"/>
        <v>0</v>
      </c>
      <c r="J300" s="46">
        <f t="shared" si="14"/>
        <v>0</v>
      </c>
      <c r="K300" s="46"/>
    </row>
    <row r="301" spans="1:11" x14ac:dyDescent="0.3">
      <c r="A301" s="46" t="s">
        <v>367</v>
      </c>
      <c r="B301" s="46"/>
      <c r="C301" s="46"/>
      <c r="D301" s="47">
        <f t="shared" si="13"/>
        <v>0</v>
      </c>
      <c r="E301" s="46"/>
      <c r="F301" s="46"/>
      <c r="G301" s="47">
        <f t="shared" si="12"/>
        <v>0</v>
      </c>
      <c r="H301" s="48">
        <v>3000</v>
      </c>
      <c r="I301" s="35">
        <f t="shared" si="15"/>
        <v>0</v>
      </c>
      <c r="J301" s="46">
        <f t="shared" si="14"/>
        <v>0</v>
      </c>
      <c r="K301" s="46"/>
    </row>
    <row r="302" spans="1:11" x14ac:dyDescent="0.3">
      <c r="A302" s="46" t="s">
        <v>368</v>
      </c>
      <c r="B302" s="46"/>
      <c r="C302" s="46"/>
      <c r="D302" s="47">
        <f t="shared" si="13"/>
        <v>0</v>
      </c>
      <c r="E302" s="46"/>
      <c r="F302" s="46"/>
      <c r="G302" s="47">
        <f t="shared" si="12"/>
        <v>0</v>
      </c>
      <c r="H302" s="48">
        <v>4000</v>
      </c>
      <c r="I302" s="35">
        <f t="shared" si="15"/>
        <v>0</v>
      </c>
      <c r="J302" s="46">
        <f t="shared" si="14"/>
        <v>0</v>
      </c>
      <c r="K302" s="46"/>
    </row>
    <row r="303" spans="1:11" x14ac:dyDescent="0.3">
      <c r="A303" s="46" t="s">
        <v>369</v>
      </c>
      <c r="B303" s="46"/>
      <c r="C303" s="46"/>
      <c r="D303" s="47">
        <f t="shared" si="13"/>
        <v>0</v>
      </c>
      <c r="E303" s="46"/>
      <c r="F303" s="46"/>
      <c r="G303" s="47">
        <f t="shared" si="12"/>
        <v>0</v>
      </c>
      <c r="H303" s="48">
        <v>13000</v>
      </c>
      <c r="I303" s="35">
        <f t="shared" si="15"/>
        <v>0</v>
      </c>
      <c r="J303" s="46">
        <f t="shared" si="14"/>
        <v>0</v>
      </c>
      <c r="K303" s="46"/>
    </row>
    <row r="304" spans="1:11" x14ac:dyDescent="0.3">
      <c r="A304" s="46" t="s">
        <v>370</v>
      </c>
      <c r="B304" s="46"/>
      <c r="C304" s="46"/>
      <c r="D304" s="47">
        <f t="shared" si="13"/>
        <v>0</v>
      </c>
      <c r="E304" s="46"/>
      <c r="F304" s="46"/>
      <c r="G304" s="47">
        <f t="shared" si="12"/>
        <v>0</v>
      </c>
      <c r="H304" s="48">
        <v>2000</v>
      </c>
      <c r="I304" s="35">
        <f t="shared" si="15"/>
        <v>0</v>
      </c>
      <c r="J304" s="46">
        <f t="shared" si="14"/>
        <v>0</v>
      </c>
      <c r="K304" s="46"/>
    </row>
    <row r="305" spans="1:11" x14ac:dyDescent="0.3">
      <c r="A305" s="46" t="s">
        <v>371</v>
      </c>
      <c r="B305" s="46"/>
      <c r="C305" s="46"/>
      <c r="D305" s="47">
        <f t="shared" si="13"/>
        <v>0</v>
      </c>
      <c r="E305" s="46"/>
      <c r="F305" s="46"/>
      <c r="G305" s="47">
        <f t="shared" si="12"/>
        <v>0</v>
      </c>
      <c r="H305" s="48">
        <v>800</v>
      </c>
      <c r="I305" s="35">
        <f t="shared" si="15"/>
        <v>0</v>
      </c>
      <c r="J305" s="46">
        <f t="shared" si="14"/>
        <v>0</v>
      </c>
      <c r="K305" s="46"/>
    </row>
    <row r="306" spans="1:11" x14ac:dyDescent="0.3">
      <c r="A306" s="46" t="s">
        <v>372</v>
      </c>
      <c r="B306" s="46"/>
      <c r="C306" s="46"/>
      <c r="D306" s="47">
        <f t="shared" si="13"/>
        <v>0</v>
      </c>
      <c r="E306" s="46"/>
      <c r="F306" s="46"/>
      <c r="G306" s="47">
        <f t="shared" si="12"/>
        <v>0</v>
      </c>
      <c r="H306" s="48">
        <v>1400</v>
      </c>
      <c r="I306" s="35">
        <f t="shared" si="15"/>
        <v>0</v>
      </c>
      <c r="J306" s="46">
        <f t="shared" si="14"/>
        <v>0</v>
      </c>
      <c r="K306" s="46"/>
    </row>
    <row r="307" spans="1:11" x14ac:dyDescent="0.3">
      <c r="A307" s="46" t="s">
        <v>373</v>
      </c>
      <c r="B307" s="46"/>
      <c r="C307" s="46"/>
      <c r="D307" s="47">
        <f t="shared" si="13"/>
        <v>0</v>
      </c>
      <c r="E307" s="46"/>
      <c r="F307" s="46"/>
      <c r="G307" s="47">
        <f t="shared" si="12"/>
        <v>0</v>
      </c>
      <c r="H307" s="48">
        <v>1000</v>
      </c>
      <c r="I307" s="35">
        <f t="shared" si="15"/>
        <v>0</v>
      </c>
      <c r="J307" s="46">
        <f t="shared" si="14"/>
        <v>0</v>
      </c>
      <c r="K307" s="46"/>
    </row>
    <row r="308" spans="1:11" x14ac:dyDescent="0.3">
      <c r="A308" s="46"/>
      <c r="B308" s="46"/>
      <c r="C308" s="46"/>
      <c r="D308" s="47">
        <f t="shared" si="13"/>
        <v>0</v>
      </c>
      <c r="E308" s="46"/>
      <c r="F308" s="46"/>
      <c r="G308" s="47">
        <f t="shared" si="12"/>
        <v>0</v>
      </c>
      <c r="H308" s="48"/>
      <c r="I308" s="35"/>
      <c r="J308" s="46">
        <f t="shared" si="14"/>
        <v>0</v>
      </c>
      <c r="K308" s="46"/>
    </row>
    <row r="309" spans="1:11" x14ac:dyDescent="0.3">
      <c r="A309" s="46" t="s">
        <v>374</v>
      </c>
      <c r="B309" s="46"/>
      <c r="C309" s="46"/>
      <c r="D309" s="47">
        <f t="shared" si="13"/>
        <v>0</v>
      </c>
      <c r="E309" s="46"/>
      <c r="F309" s="46"/>
      <c r="G309" s="47">
        <f t="shared" si="12"/>
        <v>0</v>
      </c>
      <c r="H309" s="48">
        <v>3500</v>
      </c>
      <c r="I309" s="35">
        <f t="shared" si="15"/>
        <v>0</v>
      </c>
      <c r="J309" s="46">
        <f t="shared" si="14"/>
        <v>0</v>
      </c>
      <c r="K309" s="46"/>
    </row>
    <row r="310" spans="1:11" x14ac:dyDescent="0.3">
      <c r="A310" s="46" t="s">
        <v>375</v>
      </c>
      <c r="B310" s="46"/>
      <c r="C310" s="46"/>
      <c r="D310" s="47">
        <f t="shared" si="13"/>
        <v>0</v>
      </c>
      <c r="E310" s="46"/>
      <c r="F310" s="46"/>
      <c r="G310" s="47">
        <f t="shared" si="12"/>
        <v>0</v>
      </c>
      <c r="H310" s="48">
        <v>800</v>
      </c>
      <c r="I310" s="35">
        <f t="shared" si="15"/>
        <v>0</v>
      </c>
      <c r="J310" s="46">
        <f t="shared" si="14"/>
        <v>0</v>
      </c>
      <c r="K310" s="46"/>
    </row>
    <row r="311" spans="1:11" x14ac:dyDescent="0.3">
      <c r="A311" s="46" t="s">
        <v>376</v>
      </c>
      <c r="B311" s="46"/>
      <c r="C311" s="46"/>
      <c r="D311" s="47">
        <f t="shared" si="13"/>
        <v>0</v>
      </c>
      <c r="E311" s="46"/>
      <c r="F311" s="46"/>
      <c r="G311" s="47">
        <f t="shared" si="12"/>
        <v>0</v>
      </c>
      <c r="H311" s="48">
        <v>1500</v>
      </c>
      <c r="I311" s="35">
        <f t="shared" si="15"/>
        <v>0</v>
      </c>
      <c r="J311" s="46">
        <f t="shared" si="14"/>
        <v>0</v>
      </c>
      <c r="K311" s="46"/>
    </row>
    <row r="312" spans="1:11" x14ac:dyDescent="0.3">
      <c r="A312" s="46" t="s">
        <v>377</v>
      </c>
      <c r="B312" s="46"/>
      <c r="C312" s="46"/>
      <c r="D312" s="47">
        <f t="shared" si="13"/>
        <v>0</v>
      </c>
      <c r="E312" s="46"/>
      <c r="F312" s="46"/>
      <c r="G312" s="47">
        <f t="shared" si="12"/>
        <v>0</v>
      </c>
      <c r="H312" s="48">
        <v>1500</v>
      </c>
      <c r="I312" s="35">
        <f t="shared" si="15"/>
        <v>0</v>
      </c>
      <c r="J312" s="46">
        <f t="shared" si="14"/>
        <v>0</v>
      </c>
      <c r="K312" s="46"/>
    </row>
    <row r="313" spans="1:11" x14ac:dyDescent="0.3">
      <c r="A313" s="42" t="s">
        <v>378</v>
      </c>
      <c r="B313" s="46"/>
      <c r="C313" s="46"/>
      <c r="D313" s="47">
        <f t="shared" si="13"/>
        <v>0</v>
      </c>
      <c r="E313" s="46"/>
      <c r="F313" s="46"/>
      <c r="G313" s="47">
        <f t="shared" si="12"/>
        <v>0</v>
      </c>
      <c r="H313" s="48"/>
      <c r="I313" s="35">
        <f t="shared" si="15"/>
        <v>0</v>
      </c>
      <c r="J313" s="46">
        <f t="shared" si="14"/>
        <v>0</v>
      </c>
      <c r="K313" s="46"/>
    </row>
    <row r="314" spans="1:11" x14ac:dyDescent="0.3">
      <c r="A314" s="46" t="s">
        <v>379</v>
      </c>
      <c r="B314" s="46"/>
      <c r="C314" s="46"/>
      <c r="D314" s="47">
        <f t="shared" si="13"/>
        <v>0</v>
      </c>
      <c r="E314" s="46"/>
      <c r="F314" s="46"/>
      <c r="G314" s="47">
        <f t="shared" si="12"/>
        <v>0</v>
      </c>
      <c r="H314" s="48">
        <v>60</v>
      </c>
      <c r="I314" s="35">
        <f t="shared" si="15"/>
        <v>0</v>
      </c>
      <c r="J314" s="46">
        <f t="shared" si="14"/>
        <v>0</v>
      </c>
      <c r="K314" s="46"/>
    </row>
    <row r="315" spans="1:11" x14ac:dyDescent="0.3">
      <c r="A315" s="46" t="s">
        <v>380</v>
      </c>
      <c r="B315" s="46"/>
      <c r="C315" s="46"/>
      <c r="D315" s="47">
        <f t="shared" si="13"/>
        <v>0</v>
      </c>
      <c r="E315" s="46">
        <v>10</v>
      </c>
      <c r="F315" s="46"/>
      <c r="G315" s="47">
        <f t="shared" si="12"/>
        <v>-10</v>
      </c>
      <c r="H315" s="48">
        <v>250</v>
      </c>
      <c r="I315" s="35">
        <f t="shared" si="15"/>
        <v>-2500</v>
      </c>
      <c r="J315" s="46">
        <f t="shared" si="14"/>
        <v>0</v>
      </c>
      <c r="K315" s="46"/>
    </row>
    <row r="316" spans="1:11" x14ac:dyDescent="0.3">
      <c r="A316" s="46" t="s">
        <v>381</v>
      </c>
      <c r="B316" s="46"/>
      <c r="C316" s="46"/>
      <c r="D316" s="47">
        <f t="shared" si="13"/>
        <v>0</v>
      </c>
      <c r="E316" s="46">
        <v>13</v>
      </c>
      <c r="F316" s="46"/>
      <c r="G316" s="47">
        <f t="shared" si="12"/>
        <v>-13</v>
      </c>
      <c r="H316" s="48">
        <v>400</v>
      </c>
      <c r="I316" s="35">
        <f t="shared" si="15"/>
        <v>-5200</v>
      </c>
      <c r="J316" s="46">
        <f t="shared" si="14"/>
        <v>0</v>
      </c>
      <c r="K316" s="46"/>
    </row>
    <row r="317" spans="1:11" x14ac:dyDescent="0.3">
      <c r="A317" s="46" t="s">
        <v>382</v>
      </c>
      <c r="B317" s="46"/>
      <c r="C317" s="46"/>
      <c r="D317" s="47">
        <f t="shared" si="13"/>
        <v>0</v>
      </c>
      <c r="E317" s="46">
        <v>7</v>
      </c>
      <c r="F317" s="46"/>
      <c r="G317" s="47">
        <f t="shared" si="12"/>
        <v>-7</v>
      </c>
      <c r="H317" s="48">
        <v>500</v>
      </c>
      <c r="I317" s="35">
        <f t="shared" si="15"/>
        <v>-3500</v>
      </c>
      <c r="J317" s="46">
        <f t="shared" si="14"/>
        <v>0</v>
      </c>
      <c r="K317" s="46"/>
    </row>
    <row r="318" spans="1:11" x14ac:dyDescent="0.3">
      <c r="A318" s="46" t="s">
        <v>383</v>
      </c>
      <c r="B318" s="46"/>
      <c r="C318" s="46"/>
      <c r="D318" s="47">
        <f t="shared" si="13"/>
        <v>0</v>
      </c>
      <c r="E318" s="46">
        <v>100</v>
      </c>
      <c r="F318" s="46"/>
      <c r="G318" s="47">
        <f t="shared" si="12"/>
        <v>-100</v>
      </c>
      <c r="H318" s="49">
        <v>45</v>
      </c>
      <c r="I318" s="35">
        <f t="shared" si="15"/>
        <v>-4500</v>
      </c>
      <c r="J318" s="46">
        <f t="shared" si="14"/>
        <v>0</v>
      </c>
      <c r="K318" s="46"/>
    </row>
    <row r="319" spans="1:11" x14ac:dyDescent="0.3">
      <c r="A319" s="46" t="s">
        <v>384</v>
      </c>
      <c r="B319" s="46"/>
      <c r="C319" s="46"/>
      <c r="D319" s="47">
        <f t="shared" si="13"/>
        <v>0</v>
      </c>
      <c r="E319" s="46">
        <v>100</v>
      </c>
      <c r="F319" s="46"/>
      <c r="G319" s="47">
        <f t="shared" si="12"/>
        <v>-100</v>
      </c>
      <c r="H319" s="49">
        <v>45</v>
      </c>
      <c r="I319" s="35">
        <f t="shared" si="15"/>
        <v>-4500</v>
      </c>
      <c r="J319" s="46">
        <f t="shared" si="14"/>
        <v>0</v>
      </c>
      <c r="K319" s="46"/>
    </row>
    <row r="320" spans="1:11" x14ac:dyDescent="0.3">
      <c r="A320" s="46" t="s">
        <v>385</v>
      </c>
      <c r="B320" s="46"/>
      <c r="C320" s="46"/>
      <c r="D320" s="47">
        <f t="shared" si="13"/>
        <v>0</v>
      </c>
      <c r="E320" s="46">
        <v>50</v>
      </c>
      <c r="F320" s="46"/>
      <c r="G320" s="47">
        <f t="shared" si="12"/>
        <v>-50</v>
      </c>
      <c r="H320" s="49">
        <v>105</v>
      </c>
      <c r="I320" s="35">
        <f t="shared" si="15"/>
        <v>-5250</v>
      </c>
      <c r="J320" s="46">
        <f t="shared" si="14"/>
        <v>0</v>
      </c>
      <c r="K320" s="46"/>
    </row>
    <row r="321" spans="1:11" x14ac:dyDescent="0.3">
      <c r="A321" s="46" t="s">
        <v>386</v>
      </c>
      <c r="B321" s="46"/>
      <c r="C321" s="46"/>
      <c r="D321" s="47">
        <f t="shared" si="13"/>
        <v>0</v>
      </c>
      <c r="E321" s="46"/>
      <c r="F321" s="46"/>
      <c r="G321" s="47">
        <f t="shared" si="12"/>
        <v>0</v>
      </c>
      <c r="H321" s="52">
        <v>6000</v>
      </c>
      <c r="I321" s="35">
        <f t="shared" si="15"/>
        <v>0</v>
      </c>
      <c r="J321" s="46">
        <f t="shared" si="14"/>
        <v>0</v>
      </c>
      <c r="K321" s="46"/>
    </row>
    <row r="322" spans="1:11" x14ac:dyDescent="0.3">
      <c r="A322" s="46" t="s">
        <v>387</v>
      </c>
      <c r="B322" s="46"/>
      <c r="C322" s="46"/>
      <c r="D322" s="47">
        <f t="shared" si="13"/>
        <v>0</v>
      </c>
      <c r="E322" s="46"/>
      <c r="F322" s="46"/>
      <c r="G322" s="47">
        <f t="shared" si="12"/>
        <v>0</v>
      </c>
      <c r="H322" s="48">
        <v>2800</v>
      </c>
      <c r="I322" s="35">
        <f t="shared" si="15"/>
        <v>0</v>
      </c>
      <c r="J322" s="46">
        <f t="shared" si="14"/>
        <v>0</v>
      </c>
      <c r="K322" s="46"/>
    </row>
    <row r="323" spans="1:11" x14ac:dyDescent="0.3">
      <c r="A323" s="46" t="s">
        <v>388</v>
      </c>
      <c r="B323" s="46"/>
      <c r="C323" s="46"/>
      <c r="D323" s="47">
        <f t="shared" si="13"/>
        <v>0</v>
      </c>
      <c r="E323" s="46"/>
      <c r="F323" s="46"/>
      <c r="G323" s="47">
        <f t="shared" si="12"/>
        <v>0</v>
      </c>
      <c r="H323" s="48">
        <v>2500</v>
      </c>
      <c r="I323" s="35">
        <f t="shared" si="15"/>
        <v>0</v>
      </c>
      <c r="J323" s="46">
        <f t="shared" si="14"/>
        <v>0</v>
      </c>
      <c r="K323" s="46"/>
    </row>
    <row r="324" spans="1:11" x14ac:dyDescent="0.3">
      <c r="A324" s="46" t="s">
        <v>389</v>
      </c>
      <c r="B324" s="46"/>
      <c r="C324" s="46"/>
      <c r="D324" s="47">
        <f t="shared" si="13"/>
        <v>0</v>
      </c>
      <c r="E324" s="46"/>
      <c r="F324" s="46"/>
      <c r="G324" s="47">
        <f t="shared" si="12"/>
        <v>0</v>
      </c>
      <c r="H324" s="48">
        <v>2600</v>
      </c>
      <c r="I324" s="35">
        <f t="shared" si="15"/>
        <v>0</v>
      </c>
      <c r="J324" s="46">
        <f t="shared" si="14"/>
        <v>0</v>
      </c>
      <c r="K324" s="46"/>
    </row>
    <row r="325" spans="1:11" x14ac:dyDescent="0.3">
      <c r="A325" s="46" t="s">
        <v>390</v>
      </c>
      <c r="B325" s="46"/>
      <c r="C325" s="46"/>
      <c r="D325" s="47">
        <f t="shared" si="13"/>
        <v>0</v>
      </c>
      <c r="E325" s="46"/>
      <c r="F325" s="46"/>
      <c r="G325" s="47">
        <f t="shared" si="12"/>
        <v>0</v>
      </c>
      <c r="H325" s="48">
        <v>2800</v>
      </c>
      <c r="I325" s="35">
        <f t="shared" si="15"/>
        <v>0</v>
      </c>
      <c r="J325" s="46">
        <f t="shared" si="14"/>
        <v>0</v>
      </c>
      <c r="K325" s="46"/>
    </row>
    <row r="326" spans="1:11" x14ac:dyDescent="0.3">
      <c r="A326" s="46" t="s">
        <v>391</v>
      </c>
      <c r="B326" s="46"/>
      <c r="C326" s="46"/>
      <c r="D326" s="47">
        <f t="shared" si="13"/>
        <v>0</v>
      </c>
      <c r="E326" s="46"/>
      <c r="F326" s="46"/>
      <c r="G326" s="47">
        <f t="shared" si="12"/>
        <v>0</v>
      </c>
      <c r="H326" s="48">
        <v>2400</v>
      </c>
      <c r="I326" s="35">
        <f t="shared" si="15"/>
        <v>0</v>
      </c>
      <c r="J326" s="46">
        <f t="shared" si="14"/>
        <v>0</v>
      </c>
      <c r="K326" s="46"/>
    </row>
    <row r="327" spans="1:11" x14ac:dyDescent="0.3">
      <c r="A327" s="46" t="s">
        <v>392</v>
      </c>
      <c r="B327" s="46"/>
      <c r="C327" s="46"/>
      <c r="D327" s="47">
        <f t="shared" si="13"/>
        <v>0</v>
      </c>
      <c r="E327" s="46"/>
      <c r="F327" s="46"/>
      <c r="G327" s="47">
        <f t="shared" si="12"/>
        <v>0</v>
      </c>
      <c r="H327" s="48">
        <v>250</v>
      </c>
      <c r="I327" s="35">
        <f t="shared" si="15"/>
        <v>0</v>
      </c>
      <c r="J327" s="46">
        <f t="shared" si="14"/>
        <v>0</v>
      </c>
      <c r="K327" s="46"/>
    </row>
    <row r="328" spans="1:11" x14ac:dyDescent="0.3">
      <c r="A328" s="46" t="s">
        <v>393</v>
      </c>
      <c r="B328" s="46"/>
      <c r="C328" s="46"/>
      <c r="D328" s="47">
        <f t="shared" si="13"/>
        <v>0</v>
      </c>
      <c r="E328" s="46"/>
      <c r="F328" s="46"/>
      <c r="G328" s="47">
        <f t="shared" si="12"/>
        <v>0</v>
      </c>
      <c r="H328" s="48">
        <v>130</v>
      </c>
      <c r="I328" s="35">
        <f t="shared" si="15"/>
        <v>0</v>
      </c>
      <c r="J328" s="46">
        <f t="shared" si="14"/>
        <v>0</v>
      </c>
      <c r="K328" s="46"/>
    </row>
    <row r="329" spans="1:11" x14ac:dyDescent="0.3">
      <c r="A329" s="46" t="s">
        <v>394</v>
      </c>
      <c r="B329" s="46"/>
      <c r="C329" s="46"/>
      <c r="D329" s="47">
        <f t="shared" si="13"/>
        <v>0</v>
      </c>
      <c r="E329" s="46"/>
      <c r="F329" s="46"/>
      <c r="G329" s="47">
        <f t="shared" si="12"/>
        <v>0</v>
      </c>
      <c r="H329" s="48">
        <v>4500</v>
      </c>
      <c r="I329" s="35">
        <f t="shared" si="15"/>
        <v>0</v>
      </c>
      <c r="J329" s="46">
        <f t="shared" si="14"/>
        <v>0</v>
      </c>
      <c r="K329" s="46"/>
    </row>
    <row r="330" spans="1:11" x14ac:dyDescent="0.3">
      <c r="A330" s="46" t="s">
        <v>395</v>
      </c>
      <c r="B330" s="46"/>
      <c r="C330" s="46"/>
      <c r="D330" s="47">
        <f t="shared" si="13"/>
        <v>0</v>
      </c>
      <c r="E330" s="46"/>
      <c r="F330" s="46"/>
      <c r="G330" s="47">
        <f t="shared" si="12"/>
        <v>0</v>
      </c>
      <c r="H330" s="48">
        <v>5000</v>
      </c>
      <c r="I330" s="35">
        <f t="shared" si="15"/>
        <v>0</v>
      </c>
      <c r="J330" s="46">
        <f t="shared" si="14"/>
        <v>0</v>
      </c>
      <c r="K330" s="46"/>
    </row>
    <row r="331" spans="1:11" x14ac:dyDescent="0.3">
      <c r="A331" s="46" t="s">
        <v>396</v>
      </c>
      <c r="B331" s="46"/>
      <c r="C331" s="46"/>
      <c r="D331" s="47">
        <f t="shared" si="13"/>
        <v>0</v>
      </c>
      <c r="E331" s="46"/>
      <c r="F331" s="46"/>
      <c r="G331" s="47">
        <f t="shared" si="12"/>
        <v>0</v>
      </c>
      <c r="H331" s="48">
        <v>2800</v>
      </c>
      <c r="I331" s="35">
        <f t="shared" si="15"/>
        <v>0</v>
      </c>
      <c r="J331" s="46">
        <f t="shared" si="14"/>
        <v>0</v>
      </c>
      <c r="K331" s="46"/>
    </row>
    <row r="332" spans="1:11" x14ac:dyDescent="0.3">
      <c r="A332" s="46" t="s">
        <v>397</v>
      </c>
      <c r="B332" s="46"/>
      <c r="C332" s="46"/>
      <c r="D332" s="47">
        <f t="shared" si="13"/>
        <v>0</v>
      </c>
      <c r="E332" s="46"/>
      <c r="F332" s="46"/>
      <c r="G332" s="47">
        <f t="shared" si="12"/>
        <v>0</v>
      </c>
      <c r="H332" s="48">
        <v>1500</v>
      </c>
      <c r="I332" s="35">
        <f t="shared" si="15"/>
        <v>0</v>
      </c>
      <c r="J332" s="46">
        <f t="shared" si="14"/>
        <v>0</v>
      </c>
      <c r="K332" s="46"/>
    </row>
    <row r="333" spans="1:11" x14ac:dyDescent="0.3">
      <c r="A333" s="46" t="s">
        <v>398</v>
      </c>
      <c r="B333" s="46"/>
      <c r="C333" s="46"/>
      <c r="D333" s="47">
        <f t="shared" si="13"/>
        <v>0</v>
      </c>
      <c r="E333" s="46"/>
      <c r="F333" s="46"/>
      <c r="G333" s="47">
        <f t="shared" si="12"/>
        <v>0</v>
      </c>
      <c r="H333" s="48">
        <v>1000</v>
      </c>
      <c r="I333" s="35">
        <f t="shared" si="15"/>
        <v>0</v>
      </c>
      <c r="J333" s="46">
        <f t="shared" si="14"/>
        <v>0</v>
      </c>
      <c r="K333" s="46"/>
    </row>
    <row r="334" spans="1:11" x14ac:dyDescent="0.3">
      <c r="A334" s="46" t="s">
        <v>399</v>
      </c>
      <c r="B334" s="46"/>
      <c r="C334" s="46"/>
      <c r="D334" s="47">
        <f t="shared" ref="D334:D378" si="16">B334+C334</f>
        <v>0</v>
      </c>
      <c r="E334" s="46"/>
      <c r="F334" s="46"/>
      <c r="G334" s="47">
        <f t="shared" si="12"/>
        <v>0</v>
      </c>
      <c r="H334" s="48">
        <v>2850</v>
      </c>
      <c r="I334" s="35">
        <f t="shared" si="15"/>
        <v>0</v>
      </c>
      <c r="J334" s="46">
        <f t="shared" si="14"/>
        <v>0</v>
      </c>
      <c r="K334" s="46"/>
    </row>
    <row r="335" spans="1:11" x14ac:dyDescent="0.3">
      <c r="A335" s="46" t="s">
        <v>400</v>
      </c>
      <c r="B335" s="46"/>
      <c r="C335" s="46"/>
      <c r="D335" s="47">
        <f t="shared" si="16"/>
        <v>0</v>
      </c>
      <c r="E335" s="46"/>
      <c r="F335" s="46"/>
      <c r="G335" s="47">
        <f t="shared" si="12"/>
        <v>0</v>
      </c>
      <c r="H335" s="48"/>
      <c r="I335" s="35">
        <f t="shared" si="15"/>
        <v>0</v>
      </c>
      <c r="J335" s="46">
        <f t="shared" si="14"/>
        <v>0</v>
      </c>
      <c r="K335" s="46"/>
    </row>
    <row r="336" spans="1:11" x14ac:dyDescent="0.3">
      <c r="A336" s="46" t="s">
        <v>358</v>
      </c>
      <c r="B336" s="46"/>
      <c r="C336" s="46"/>
      <c r="D336" s="47">
        <f t="shared" si="16"/>
        <v>0</v>
      </c>
      <c r="E336" s="46"/>
      <c r="F336" s="46"/>
      <c r="G336" s="47">
        <f t="shared" si="12"/>
        <v>0</v>
      </c>
      <c r="H336" s="48">
        <v>3500</v>
      </c>
      <c r="I336" s="35">
        <f t="shared" si="15"/>
        <v>0</v>
      </c>
      <c r="J336" s="46">
        <f t="shared" si="14"/>
        <v>0</v>
      </c>
      <c r="K336" s="46"/>
    </row>
    <row r="337" spans="1:11" x14ac:dyDescent="0.3">
      <c r="A337" s="46" t="s">
        <v>401</v>
      </c>
      <c r="B337" s="46"/>
      <c r="C337" s="46"/>
      <c r="D337" s="47">
        <f t="shared" si="16"/>
        <v>0</v>
      </c>
      <c r="E337" s="46">
        <v>5</v>
      </c>
      <c r="F337" s="46"/>
      <c r="G337" s="47">
        <f t="shared" si="12"/>
        <v>-5</v>
      </c>
      <c r="H337" s="48">
        <v>650</v>
      </c>
      <c r="I337" s="35">
        <f t="shared" si="15"/>
        <v>-3250</v>
      </c>
      <c r="J337" s="46">
        <f t="shared" si="14"/>
        <v>0</v>
      </c>
      <c r="K337" s="46"/>
    </row>
    <row r="338" spans="1:11" x14ac:dyDescent="0.3">
      <c r="A338" s="46" t="s">
        <v>402</v>
      </c>
      <c r="B338" s="46"/>
      <c r="C338" s="46"/>
      <c r="D338" s="47">
        <f t="shared" si="16"/>
        <v>0</v>
      </c>
      <c r="E338" s="46"/>
      <c r="F338" s="46"/>
      <c r="G338" s="47">
        <f t="shared" si="12"/>
        <v>0</v>
      </c>
      <c r="H338" s="48">
        <v>1000</v>
      </c>
      <c r="I338" s="35">
        <f t="shared" si="15"/>
        <v>0</v>
      </c>
      <c r="J338" s="46">
        <f t="shared" si="14"/>
        <v>0</v>
      </c>
      <c r="K338" s="46"/>
    </row>
    <row r="339" spans="1:11" x14ac:dyDescent="0.3">
      <c r="A339" s="46" t="s">
        <v>403</v>
      </c>
      <c r="B339" s="46"/>
      <c r="C339" s="46"/>
      <c r="D339" s="47">
        <f t="shared" si="16"/>
        <v>0</v>
      </c>
      <c r="E339" s="46">
        <v>90</v>
      </c>
      <c r="F339" s="46"/>
      <c r="G339" s="47">
        <f t="shared" si="12"/>
        <v>-90</v>
      </c>
      <c r="H339" s="48">
        <v>100</v>
      </c>
      <c r="I339" s="35">
        <f t="shared" si="15"/>
        <v>-9000</v>
      </c>
      <c r="J339" s="46">
        <f t="shared" si="14"/>
        <v>0</v>
      </c>
      <c r="K339" s="46"/>
    </row>
    <row r="340" spans="1:11" x14ac:dyDescent="0.3">
      <c r="A340" s="46" t="s">
        <v>404</v>
      </c>
      <c r="B340" s="46"/>
      <c r="C340" s="46"/>
      <c r="D340" s="47">
        <f t="shared" si="16"/>
        <v>0</v>
      </c>
      <c r="E340" s="46">
        <v>85</v>
      </c>
      <c r="F340" s="46"/>
      <c r="G340" s="47">
        <f t="shared" si="12"/>
        <v>-85</v>
      </c>
      <c r="H340" s="48">
        <v>100</v>
      </c>
      <c r="I340" s="35">
        <f t="shared" si="15"/>
        <v>-8500</v>
      </c>
      <c r="J340" s="46">
        <f t="shared" si="14"/>
        <v>0</v>
      </c>
      <c r="K340" s="46"/>
    </row>
    <row r="341" spans="1:11" x14ac:dyDescent="0.3">
      <c r="A341" s="46" t="s">
        <v>405</v>
      </c>
      <c r="B341" s="46"/>
      <c r="C341" s="46"/>
      <c r="D341" s="47">
        <f t="shared" si="16"/>
        <v>0</v>
      </c>
      <c r="E341" s="46">
        <v>11</v>
      </c>
      <c r="F341" s="46"/>
      <c r="G341" s="47">
        <f t="shared" ref="G341:G378" si="17">D341-E341-F341</f>
        <v>-11</v>
      </c>
      <c r="H341" s="48">
        <v>450</v>
      </c>
      <c r="I341" s="35">
        <f t="shared" si="15"/>
        <v>-4950</v>
      </c>
      <c r="J341" s="46">
        <f t="shared" si="14"/>
        <v>0</v>
      </c>
      <c r="K341" s="46"/>
    </row>
    <row r="342" spans="1:11" x14ac:dyDescent="0.3">
      <c r="A342" s="46" t="s">
        <v>406</v>
      </c>
      <c r="B342" s="46"/>
      <c r="C342" s="46"/>
      <c r="D342" s="47">
        <f t="shared" si="16"/>
        <v>0</v>
      </c>
      <c r="E342" s="46">
        <v>25</v>
      </c>
      <c r="F342" s="46"/>
      <c r="G342" s="47">
        <f t="shared" si="17"/>
        <v>-25</v>
      </c>
      <c r="H342" s="48">
        <v>300</v>
      </c>
      <c r="I342" s="35">
        <f t="shared" si="15"/>
        <v>-7500</v>
      </c>
      <c r="J342" s="46">
        <f t="shared" si="14"/>
        <v>0</v>
      </c>
      <c r="K342" s="46"/>
    </row>
    <row r="343" spans="1:11" x14ac:dyDescent="0.3">
      <c r="A343" s="46" t="s">
        <v>407</v>
      </c>
      <c r="B343" s="46"/>
      <c r="C343" s="46"/>
      <c r="D343" s="47">
        <f t="shared" si="16"/>
        <v>0</v>
      </c>
      <c r="E343" s="46">
        <v>20</v>
      </c>
      <c r="F343" s="46"/>
      <c r="G343" s="47">
        <f t="shared" si="17"/>
        <v>-20</v>
      </c>
      <c r="H343" s="48">
        <v>150</v>
      </c>
      <c r="I343" s="35">
        <f t="shared" si="15"/>
        <v>-3000</v>
      </c>
      <c r="J343" s="46">
        <f t="shared" si="14"/>
        <v>0</v>
      </c>
      <c r="K343" s="46"/>
    </row>
    <row r="344" spans="1:11" x14ac:dyDescent="0.3">
      <c r="A344" s="46" t="s">
        <v>408</v>
      </c>
      <c r="B344" s="46"/>
      <c r="C344" s="46"/>
      <c r="D344" s="47">
        <f t="shared" si="16"/>
        <v>0</v>
      </c>
      <c r="E344" s="46">
        <v>150</v>
      </c>
      <c r="F344" s="46"/>
      <c r="G344" s="47">
        <f t="shared" si="17"/>
        <v>-150</v>
      </c>
      <c r="H344" s="48">
        <v>90</v>
      </c>
      <c r="I344" s="35">
        <f t="shared" si="15"/>
        <v>-13500</v>
      </c>
      <c r="J344" s="46">
        <f t="shared" si="14"/>
        <v>0</v>
      </c>
      <c r="K344" s="46"/>
    </row>
    <row r="345" spans="1:11" x14ac:dyDescent="0.3">
      <c r="A345" s="46" t="s">
        <v>409</v>
      </c>
      <c r="B345" s="46"/>
      <c r="C345" s="46"/>
      <c r="D345" s="47">
        <f t="shared" si="16"/>
        <v>0</v>
      </c>
      <c r="E345" s="46"/>
      <c r="F345" s="46"/>
      <c r="G345" s="47">
        <f t="shared" si="17"/>
        <v>0</v>
      </c>
      <c r="H345" s="48">
        <v>100</v>
      </c>
      <c r="I345" s="35">
        <f t="shared" si="15"/>
        <v>0</v>
      </c>
      <c r="J345" s="46">
        <f t="shared" ref="J345:J380" si="18">K345/10</f>
        <v>0</v>
      </c>
      <c r="K345" s="46"/>
    </row>
    <row r="346" spans="1:11" x14ac:dyDescent="0.3">
      <c r="A346" s="46" t="s">
        <v>410</v>
      </c>
      <c r="B346" s="46"/>
      <c r="C346" s="46"/>
      <c r="D346" s="47">
        <f t="shared" si="16"/>
        <v>0</v>
      </c>
      <c r="E346" s="46"/>
      <c r="F346" s="46"/>
      <c r="G346" s="47">
        <f t="shared" si="17"/>
        <v>0</v>
      </c>
      <c r="H346" s="48">
        <v>1500</v>
      </c>
      <c r="I346" s="35">
        <f t="shared" si="15"/>
        <v>0</v>
      </c>
      <c r="J346" s="46">
        <f t="shared" si="18"/>
        <v>0</v>
      </c>
      <c r="K346" s="46"/>
    </row>
    <row r="347" spans="1:11" x14ac:dyDescent="0.3">
      <c r="A347" s="46" t="s">
        <v>411</v>
      </c>
      <c r="B347" s="46"/>
      <c r="C347" s="46"/>
      <c r="D347" s="47">
        <f t="shared" si="16"/>
        <v>0</v>
      </c>
      <c r="E347" s="46"/>
      <c r="F347" s="46"/>
      <c r="G347" s="47">
        <f t="shared" si="17"/>
        <v>0</v>
      </c>
      <c r="H347" s="48">
        <v>600</v>
      </c>
      <c r="I347" s="35">
        <f t="shared" si="15"/>
        <v>0</v>
      </c>
      <c r="J347" s="46">
        <f t="shared" si="18"/>
        <v>0</v>
      </c>
      <c r="K347" s="46"/>
    </row>
    <row r="348" spans="1:11" x14ac:dyDescent="0.3">
      <c r="A348" s="46" t="s">
        <v>412</v>
      </c>
      <c r="B348" s="46"/>
      <c r="C348" s="46"/>
      <c r="D348" s="47">
        <f t="shared" si="16"/>
        <v>0</v>
      </c>
      <c r="E348" s="46"/>
      <c r="F348" s="46"/>
      <c r="G348" s="47">
        <f t="shared" si="17"/>
        <v>0</v>
      </c>
      <c r="H348" s="48">
        <v>500</v>
      </c>
      <c r="I348" s="35">
        <f t="shared" si="15"/>
        <v>0</v>
      </c>
      <c r="J348" s="46">
        <f t="shared" si="18"/>
        <v>0</v>
      </c>
      <c r="K348" s="46"/>
    </row>
    <row r="349" spans="1:11" x14ac:dyDescent="0.3">
      <c r="A349" s="46" t="s">
        <v>413</v>
      </c>
      <c r="B349" s="46"/>
      <c r="C349" s="46"/>
      <c r="D349" s="47">
        <f t="shared" si="16"/>
        <v>0</v>
      </c>
      <c r="E349" s="46"/>
      <c r="F349" s="46"/>
      <c r="G349" s="47">
        <f t="shared" si="17"/>
        <v>0</v>
      </c>
      <c r="H349" s="48">
        <v>25</v>
      </c>
      <c r="I349" s="35">
        <f t="shared" si="15"/>
        <v>0</v>
      </c>
      <c r="J349" s="46">
        <f t="shared" si="18"/>
        <v>0</v>
      </c>
      <c r="K349" s="46"/>
    </row>
    <row r="350" spans="1:11" x14ac:dyDescent="0.3">
      <c r="A350" s="46" t="s">
        <v>414</v>
      </c>
      <c r="B350" s="46"/>
      <c r="C350" s="46"/>
      <c r="D350" s="47">
        <f t="shared" si="16"/>
        <v>0</v>
      </c>
      <c r="E350" s="46"/>
      <c r="F350" s="46"/>
      <c r="G350" s="47">
        <f t="shared" si="17"/>
        <v>0</v>
      </c>
      <c r="H350" s="48">
        <v>28000</v>
      </c>
      <c r="I350" s="35">
        <f t="shared" si="15"/>
        <v>0</v>
      </c>
      <c r="J350" s="46">
        <f t="shared" si="18"/>
        <v>0</v>
      </c>
      <c r="K350" s="46"/>
    </row>
    <row r="351" spans="1:11" x14ac:dyDescent="0.3">
      <c r="A351" s="46" t="s">
        <v>415</v>
      </c>
      <c r="B351" s="46"/>
      <c r="C351" s="46"/>
      <c r="D351" s="47">
        <f t="shared" si="16"/>
        <v>0</v>
      </c>
      <c r="E351" s="46"/>
      <c r="F351" s="46"/>
      <c r="G351" s="47">
        <f t="shared" si="17"/>
        <v>0</v>
      </c>
      <c r="H351" s="48">
        <v>1500</v>
      </c>
      <c r="I351" s="35">
        <f t="shared" si="15"/>
        <v>0</v>
      </c>
      <c r="J351" s="46">
        <f t="shared" si="18"/>
        <v>0</v>
      </c>
      <c r="K351" s="46"/>
    </row>
    <row r="352" spans="1:11" x14ac:dyDescent="0.3">
      <c r="A352" s="46" t="s">
        <v>416</v>
      </c>
      <c r="B352" s="46"/>
      <c r="C352" s="46"/>
      <c r="D352" s="47">
        <f t="shared" si="16"/>
        <v>0</v>
      </c>
      <c r="E352" s="46"/>
      <c r="F352" s="46"/>
      <c r="G352" s="47">
        <f t="shared" si="17"/>
        <v>0</v>
      </c>
      <c r="H352" s="48">
        <v>30</v>
      </c>
      <c r="I352" s="35">
        <f t="shared" si="15"/>
        <v>0</v>
      </c>
      <c r="J352" s="46">
        <f t="shared" si="18"/>
        <v>0</v>
      </c>
      <c r="K352" s="46"/>
    </row>
    <row r="353" spans="1:11" x14ac:dyDescent="0.3">
      <c r="A353" s="46" t="s">
        <v>417</v>
      </c>
      <c r="B353" s="46"/>
      <c r="C353" s="46"/>
      <c r="D353" s="47">
        <f t="shared" si="16"/>
        <v>0</v>
      </c>
      <c r="E353" s="46"/>
      <c r="F353" s="46"/>
      <c r="G353" s="47">
        <f t="shared" si="17"/>
        <v>0</v>
      </c>
      <c r="H353" s="48">
        <v>30</v>
      </c>
      <c r="I353" s="35">
        <f t="shared" si="15"/>
        <v>0</v>
      </c>
      <c r="J353" s="46">
        <f t="shared" si="18"/>
        <v>0</v>
      </c>
      <c r="K353" s="46"/>
    </row>
    <row r="354" spans="1:11" x14ac:dyDescent="0.3">
      <c r="A354" s="46" t="s">
        <v>418</v>
      </c>
      <c r="B354" s="46"/>
      <c r="C354" s="46"/>
      <c r="D354" s="47">
        <f t="shared" si="16"/>
        <v>0</v>
      </c>
      <c r="E354" s="46"/>
      <c r="F354" s="46"/>
      <c r="G354" s="47">
        <f t="shared" si="17"/>
        <v>0</v>
      </c>
      <c r="H354" s="48">
        <v>1200</v>
      </c>
      <c r="I354" s="35">
        <f t="shared" si="15"/>
        <v>0</v>
      </c>
      <c r="J354" s="46">
        <f t="shared" si="18"/>
        <v>0</v>
      </c>
      <c r="K354" s="46"/>
    </row>
    <row r="355" spans="1:11" x14ac:dyDescent="0.3">
      <c r="A355" s="46" t="s">
        <v>419</v>
      </c>
      <c r="B355" s="46"/>
      <c r="C355" s="46"/>
      <c r="D355" s="47">
        <f t="shared" si="16"/>
        <v>0</v>
      </c>
      <c r="E355" s="46"/>
      <c r="F355" s="46"/>
      <c r="G355" s="47">
        <f t="shared" si="17"/>
        <v>0</v>
      </c>
      <c r="H355" s="48">
        <v>700</v>
      </c>
      <c r="I355" s="35">
        <f t="shared" si="15"/>
        <v>0</v>
      </c>
      <c r="J355" s="46">
        <f t="shared" si="18"/>
        <v>0</v>
      </c>
      <c r="K355" s="46"/>
    </row>
    <row r="356" spans="1:11" x14ac:dyDescent="0.3">
      <c r="A356" s="46" t="s">
        <v>420</v>
      </c>
      <c r="B356" s="46"/>
      <c r="C356" s="46"/>
      <c r="D356" s="47">
        <f t="shared" si="16"/>
        <v>0</v>
      </c>
      <c r="E356" s="46"/>
      <c r="F356" s="46"/>
      <c r="G356" s="47">
        <f t="shared" si="17"/>
        <v>0</v>
      </c>
      <c r="H356" s="48">
        <v>8000</v>
      </c>
      <c r="I356" s="35">
        <f t="shared" si="15"/>
        <v>0</v>
      </c>
      <c r="J356" s="46">
        <f t="shared" si="18"/>
        <v>0</v>
      </c>
      <c r="K356" s="46"/>
    </row>
    <row r="357" spans="1:11" x14ac:dyDescent="0.3">
      <c r="A357" s="46" t="s">
        <v>421</v>
      </c>
      <c r="B357" s="46"/>
      <c r="C357" s="46"/>
      <c r="D357" s="47">
        <f t="shared" si="16"/>
        <v>0</v>
      </c>
      <c r="E357" s="46"/>
      <c r="F357" s="46"/>
      <c r="G357" s="47">
        <f t="shared" si="17"/>
        <v>0</v>
      </c>
      <c r="H357" s="48">
        <v>6</v>
      </c>
      <c r="I357" s="35">
        <f t="shared" si="15"/>
        <v>0</v>
      </c>
      <c r="J357" s="46">
        <f t="shared" si="18"/>
        <v>0</v>
      </c>
      <c r="K357" s="46"/>
    </row>
    <row r="358" spans="1:11" x14ac:dyDescent="0.3">
      <c r="A358" s="46" t="s">
        <v>422</v>
      </c>
      <c r="B358" s="46"/>
      <c r="C358" s="46"/>
      <c r="D358" s="47">
        <f t="shared" si="16"/>
        <v>0</v>
      </c>
      <c r="E358" s="46"/>
      <c r="F358" s="46"/>
      <c r="G358" s="47">
        <f t="shared" si="17"/>
        <v>0</v>
      </c>
      <c r="H358" s="48">
        <v>2000</v>
      </c>
      <c r="I358" s="35">
        <f t="shared" si="15"/>
        <v>0</v>
      </c>
      <c r="J358" s="46">
        <f t="shared" si="18"/>
        <v>0</v>
      </c>
      <c r="K358" s="46"/>
    </row>
    <row r="359" spans="1:11" x14ac:dyDescent="0.3">
      <c r="A359" s="46" t="s">
        <v>423</v>
      </c>
      <c r="B359" s="46"/>
      <c r="C359" s="46"/>
      <c r="D359" s="47">
        <f t="shared" si="16"/>
        <v>0</v>
      </c>
      <c r="E359" s="46">
        <v>100</v>
      </c>
      <c r="F359" s="46"/>
      <c r="G359" s="47">
        <f t="shared" si="17"/>
        <v>-100</v>
      </c>
      <c r="H359" s="48">
        <v>180</v>
      </c>
      <c r="I359" s="35">
        <f t="shared" si="15"/>
        <v>-18000</v>
      </c>
      <c r="J359" s="46">
        <f t="shared" si="18"/>
        <v>0</v>
      </c>
      <c r="K359" s="46"/>
    </row>
    <row r="360" spans="1:11" x14ac:dyDescent="0.3">
      <c r="A360" s="46" t="s">
        <v>424</v>
      </c>
      <c r="B360" s="46"/>
      <c r="C360" s="46"/>
      <c r="D360" s="47">
        <f t="shared" si="16"/>
        <v>0</v>
      </c>
      <c r="E360" s="46">
        <v>1</v>
      </c>
      <c r="F360" s="46"/>
      <c r="G360" s="47">
        <f t="shared" si="17"/>
        <v>-1</v>
      </c>
      <c r="H360" s="48">
        <v>5000</v>
      </c>
      <c r="I360" s="35">
        <f t="shared" si="15"/>
        <v>-5000</v>
      </c>
      <c r="J360" s="46">
        <f t="shared" si="18"/>
        <v>0</v>
      </c>
      <c r="K360" s="46"/>
    </row>
    <row r="361" spans="1:11" x14ac:dyDescent="0.3">
      <c r="A361" s="46" t="s">
        <v>425</v>
      </c>
      <c r="B361" s="46"/>
      <c r="C361" s="46"/>
      <c r="D361" s="47">
        <f t="shared" si="16"/>
        <v>0</v>
      </c>
      <c r="E361" s="46">
        <v>2</v>
      </c>
      <c r="F361" s="46"/>
      <c r="G361" s="47">
        <f t="shared" si="17"/>
        <v>-2</v>
      </c>
      <c r="H361" s="48">
        <v>7500</v>
      </c>
      <c r="I361" s="35">
        <f t="shared" si="15"/>
        <v>-15000</v>
      </c>
      <c r="J361" s="46">
        <f t="shared" si="18"/>
        <v>0</v>
      </c>
      <c r="K361" s="46"/>
    </row>
    <row r="362" spans="1:11" x14ac:dyDescent="0.3">
      <c r="A362" s="46" t="s">
        <v>426</v>
      </c>
      <c r="B362" s="46"/>
      <c r="C362" s="46"/>
      <c r="D362" s="47">
        <f t="shared" si="16"/>
        <v>0</v>
      </c>
      <c r="E362" s="46">
        <v>17</v>
      </c>
      <c r="F362" s="46"/>
      <c r="G362" s="47">
        <f t="shared" si="17"/>
        <v>-17</v>
      </c>
      <c r="H362" s="48">
        <v>70</v>
      </c>
      <c r="I362" s="35">
        <f t="shared" si="15"/>
        <v>-1190</v>
      </c>
      <c r="J362" s="46">
        <f t="shared" si="18"/>
        <v>0</v>
      </c>
      <c r="K362" s="46"/>
    </row>
    <row r="363" spans="1:11" x14ac:dyDescent="0.3">
      <c r="A363" s="46" t="s">
        <v>427</v>
      </c>
      <c r="B363" s="46"/>
      <c r="C363" s="46"/>
      <c r="D363" s="47">
        <f t="shared" si="16"/>
        <v>0</v>
      </c>
      <c r="E363" s="46"/>
      <c r="F363" s="46"/>
      <c r="G363" s="47">
        <f t="shared" si="17"/>
        <v>0</v>
      </c>
      <c r="H363" s="48">
        <v>1400</v>
      </c>
      <c r="I363" s="35">
        <f t="shared" si="15"/>
        <v>0</v>
      </c>
      <c r="J363" s="46">
        <f t="shared" si="18"/>
        <v>0</v>
      </c>
      <c r="K363" s="46"/>
    </row>
    <row r="364" spans="1:11" x14ac:dyDescent="0.3">
      <c r="A364" s="46" t="s">
        <v>428</v>
      </c>
      <c r="B364" s="46"/>
      <c r="C364" s="46"/>
      <c r="D364" s="47">
        <f t="shared" si="16"/>
        <v>0</v>
      </c>
      <c r="E364" s="46"/>
      <c r="F364" s="46"/>
      <c r="G364" s="47">
        <f t="shared" si="17"/>
        <v>0</v>
      </c>
      <c r="H364" s="48">
        <v>1200</v>
      </c>
      <c r="I364" s="35">
        <f t="shared" si="15"/>
        <v>0</v>
      </c>
      <c r="J364" s="46">
        <f t="shared" si="18"/>
        <v>0</v>
      </c>
      <c r="K364" s="46"/>
    </row>
    <row r="365" spans="1:11" x14ac:dyDescent="0.3">
      <c r="A365" s="46" t="s">
        <v>429</v>
      </c>
      <c r="B365" s="46"/>
      <c r="C365" s="46"/>
      <c r="D365" s="47">
        <f t="shared" si="16"/>
        <v>0</v>
      </c>
      <c r="E365" s="46"/>
      <c r="F365" s="46"/>
      <c r="G365" s="47">
        <f t="shared" si="17"/>
        <v>0</v>
      </c>
      <c r="H365" s="48">
        <v>30</v>
      </c>
      <c r="I365" s="35">
        <f t="shared" si="15"/>
        <v>0</v>
      </c>
      <c r="J365" s="46">
        <f t="shared" si="18"/>
        <v>0</v>
      </c>
      <c r="K365" s="46"/>
    </row>
    <row r="366" spans="1:11" x14ac:dyDescent="0.3">
      <c r="A366" s="46" t="s">
        <v>430</v>
      </c>
      <c r="B366" s="46"/>
      <c r="C366" s="46"/>
      <c r="D366" s="47">
        <f t="shared" si="16"/>
        <v>0</v>
      </c>
      <c r="E366" s="46"/>
      <c r="F366" s="46"/>
      <c r="G366" s="47">
        <f t="shared" si="17"/>
        <v>0</v>
      </c>
      <c r="H366" s="48">
        <v>32</v>
      </c>
      <c r="I366" s="35">
        <f t="shared" si="15"/>
        <v>0</v>
      </c>
      <c r="J366" s="46">
        <f t="shared" si="18"/>
        <v>0</v>
      </c>
      <c r="K366" s="46"/>
    </row>
    <row r="367" spans="1:11" x14ac:dyDescent="0.3">
      <c r="A367" s="46" t="s">
        <v>431</v>
      </c>
      <c r="B367" s="46"/>
      <c r="C367" s="46"/>
      <c r="D367" s="47">
        <f t="shared" si="16"/>
        <v>0</v>
      </c>
      <c r="E367" s="46"/>
      <c r="F367" s="46"/>
      <c r="G367" s="47">
        <f t="shared" si="17"/>
        <v>0</v>
      </c>
      <c r="H367" s="48">
        <v>2000</v>
      </c>
      <c r="I367" s="35">
        <f t="shared" si="15"/>
        <v>0</v>
      </c>
      <c r="J367" s="46">
        <f t="shared" si="18"/>
        <v>0</v>
      </c>
      <c r="K367" s="46"/>
    </row>
    <row r="368" spans="1:11" x14ac:dyDescent="0.3">
      <c r="A368" s="46" t="s">
        <v>432</v>
      </c>
      <c r="B368" s="46"/>
      <c r="C368" s="46"/>
      <c r="D368" s="47">
        <f t="shared" si="16"/>
        <v>0</v>
      </c>
      <c r="E368" s="46">
        <v>1</v>
      </c>
      <c r="F368" s="46"/>
      <c r="G368" s="47">
        <f t="shared" si="17"/>
        <v>-1</v>
      </c>
      <c r="H368" s="48">
        <v>1450</v>
      </c>
      <c r="I368" s="35">
        <f t="shared" si="15"/>
        <v>-1450</v>
      </c>
      <c r="J368" s="46">
        <f t="shared" si="18"/>
        <v>0</v>
      </c>
      <c r="K368" s="46"/>
    </row>
    <row r="369" spans="1:11" x14ac:dyDescent="0.3">
      <c r="A369" s="46" t="s">
        <v>433</v>
      </c>
      <c r="B369" s="46"/>
      <c r="C369" s="46"/>
      <c r="D369" s="47">
        <f t="shared" si="16"/>
        <v>0</v>
      </c>
      <c r="E369" s="46">
        <v>9</v>
      </c>
      <c r="F369" s="46"/>
      <c r="G369" s="47">
        <f t="shared" si="17"/>
        <v>-9</v>
      </c>
      <c r="H369" s="48">
        <v>300</v>
      </c>
      <c r="I369" s="35">
        <f t="shared" si="15"/>
        <v>-2700</v>
      </c>
      <c r="J369" s="46">
        <f t="shared" si="18"/>
        <v>0</v>
      </c>
      <c r="K369" s="46"/>
    </row>
    <row r="370" spans="1:11" x14ac:dyDescent="0.3">
      <c r="A370" s="46" t="s">
        <v>434</v>
      </c>
      <c r="B370" s="46"/>
      <c r="C370" s="46"/>
      <c r="D370" s="47">
        <f t="shared" si="16"/>
        <v>0</v>
      </c>
      <c r="E370" s="46">
        <v>8</v>
      </c>
      <c r="F370" s="46"/>
      <c r="G370" s="47">
        <f t="shared" si="17"/>
        <v>-8</v>
      </c>
      <c r="H370" s="48">
        <v>500</v>
      </c>
      <c r="I370" s="35">
        <f t="shared" si="15"/>
        <v>-4000</v>
      </c>
      <c r="J370" s="46">
        <f t="shared" si="18"/>
        <v>0</v>
      </c>
      <c r="K370" s="46"/>
    </row>
    <row r="371" spans="1:11" x14ac:dyDescent="0.3">
      <c r="A371" s="46" t="s">
        <v>435</v>
      </c>
      <c r="B371" s="46"/>
      <c r="C371" s="46"/>
      <c r="D371" s="47">
        <f t="shared" si="16"/>
        <v>0</v>
      </c>
      <c r="E371" s="46"/>
      <c r="F371" s="46"/>
      <c r="G371" s="47">
        <f t="shared" si="17"/>
        <v>0</v>
      </c>
      <c r="H371" s="48">
        <v>120</v>
      </c>
      <c r="I371" s="35">
        <f t="shared" si="15"/>
        <v>0</v>
      </c>
      <c r="J371" s="46">
        <f t="shared" si="18"/>
        <v>0</v>
      </c>
      <c r="K371" s="46"/>
    </row>
    <row r="372" spans="1:11" x14ac:dyDescent="0.3">
      <c r="A372" s="46" t="s">
        <v>436</v>
      </c>
      <c r="B372" s="46"/>
      <c r="C372" s="46"/>
      <c r="D372" s="47">
        <f t="shared" si="16"/>
        <v>0</v>
      </c>
      <c r="E372" s="46"/>
      <c r="F372" s="46"/>
      <c r="G372" s="47">
        <f t="shared" si="17"/>
        <v>0</v>
      </c>
      <c r="H372" s="48"/>
      <c r="I372" s="35">
        <f t="shared" si="15"/>
        <v>0</v>
      </c>
      <c r="J372" s="46">
        <f t="shared" si="18"/>
        <v>0</v>
      </c>
      <c r="K372" s="46"/>
    </row>
    <row r="373" spans="1:11" x14ac:dyDescent="0.3">
      <c r="A373" s="46" t="s">
        <v>437</v>
      </c>
      <c r="B373" s="46"/>
      <c r="C373" s="46"/>
      <c r="D373" s="47">
        <f t="shared" si="16"/>
        <v>0</v>
      </c>
      <c r="E373" s="46"/>
      <c r="F373" s="46"/>
      <c r="G373" s="47">
        <f t="shared" si="17"/>
        <v>0</v>
      </c>
      <c r="H373" s="48">
        <v>65</v>
      </c>
      <c r="I373" s="35">
        <f t="shared" si="15"/>
        <v>0</v>
      </c>
      <c r="J373" s="46">
        <f t="shared" si="18"/>
        <v>0</v>
      </c>
      <c r="K373" s="46"/>
    </row>
    <row r="374" spans="1:11" x14ac:dyDescent="0.3">
      <c r="A374" s="46" t="s">
        <v>438</v>
      </c>
      <c r="B374" s="46"/>
      <c r="C374" s="46"/>
      <c r="D374" s="47">
        <f t="shared" si="16"/>
        <v>0</v>
      </c>
      <c r="E374" s="46">
        <v>2</v>
      </c>
      <c r="F374" s="46"/>
      <c r="G374" s="47">
        <f t="shared" si="17"/>
        <v>-2</v>
      </c>
      <c r="H374" s="48">
        <v>6500</v>
      </c>
      <c r="I374" s="35">
        <f t="shared" si="15"/>
        <v>-13000</v>
      </c>
      <c r="J374" s="46">
        <f t="shared" si="18"/>
        <v>0</v>
      </c>
      <c r="K374" s="46"/>
    </row>
    <row r="375" spans="1:11" x14ac:dyDescent="0.3">
      <c r="A375" s="46" t="s">
        <v>84</v>
      </c>
      <c r="B375" s="46"/>
      <c r="C375" s="46"/>
      <c r="D375" s="47">
        <f t="shared" si="16"/>
        <v>0</v>
      </c>
      <c r="E375" s="46">
        <v>3</v>
      </c>
      <c r="F375" s="46"/>
      <c r="G375" s="47">
        <f t="shared" si="17"/>
        <v>-3</v>
      </c>
      <c r="H375" s="48">
        <v>1050</v>
      </c>
      <c r="I375" s="35">
        <f t="shared" si="15"/>
        <v>-3150</v>
      </c>
      <c r="J375" s="46">
        <f t="shared" si="18"/>
        <v>0</v>
      </c>
      <c r="K375" s="46"/>
    </row>
    <row r="376" spans="1:11" x14ac:dyDescent="0.3">
      <c r="A376" s="46" t="s">
        <v>439</v>
      </c>
      <c r="B376" s="46"/>
      <c r="C376" s="46"/>
      <c r="D376" s="47">
        <f t="shared" si="16"/>
        <v>0</v>
      </c>
      <c r="E376" s="46"/>
      <c r="F376" s="46"/>
      <c r="G376" s="47">
        <f t="shared" si="17"/>
        <v>0</v>
      </c>
      <c r="H376" s="48">
        <v>1400</v>
      </c>
      <c r="I376" s="35">
        <f t="shared" si="15"/>
        <v>0</v>
      </c>
      <c r="J376" s="46">
        <f t="shared" si="18"/>
        <v>0</v>
      </c>
      <c r="K376" s="46"/>
    </row>
    <row r="377" spans="1:11" x14ac:dyDescent="0.3">
      <c r="A377" s="46" t="s">
        <v>440</v>
      </c>
      <c r="B377" s="46"/>
      <c r="C377" s="46"/>
      <c r="D377" s="47">
        <f t="shared" si="16"/>
        <v>0</v>
      </c>
      <c r="E377" s="46"/>
      <c r="F377" s="46"/>
      <c r="G377" s="47">
        <f t="shared" si="17"/>
        <v>0</v>
      </c>
      <c r="H377" s="48">
        <v>300</v>
      </c>
      <c r="I377" s="35">
        <f t="shared" si="15"/>
        <v>0</v>
      </c>
      <c r="J377" s="46">
        <f t="shared" si="18"/>
        <v>0</v>
      </c>
      <c r="K377" s="46"/>
    </row>
    <row r="378" spans="1:11" x14ac:dyDescent="0.3">
      <c r="A378" s="46" t="s">
        <v>441</v>
      </c>
      <c r="B378" s="46"/>
      <c r="C378" s="46"/>
      <c r="D378" s="47">
        <f t="shared" si="16"/>
        <v>0</v>
      </c>
      <c r="E378" s="46"/>
      <c r="F378" s="46"/>
      <c r="G378" s="47">
        <f t="shared" si="17"/>
        <v>0</v>
      </c>
      <c r="H378" s="48">
        <v>7000</v>
      </c>
      <c r="I378" s="35">
        <f t="shared" si="15"/>
        <v>0</v>
      </c>
      <c r="J378" s="46">
        <f t="shared" si="18"/>
        <v>0</v>
      </c>
      <c r="K378" s="46"/>
    </row>
    <row r="379" spans="1:11" x14ac:dyDescent="0.3">
      <c r="I379" s="19">
        <f>SUM(I6:I378)</f>
        <v>562070</v>
      </c>
      <c r="J379" s="46">
        <f t="shared" si="18"/>
        <v>0</v>
      </c>
      <c r="K379" s="46"/>
    </row>
    <row r="380" spans="1:11" x14ac:dyDescent="0.3">
      <c r="J380" s="46">
        <f t="shared" si="18"/>
        <v>0</v>
      </c>
      <c r="K380" s="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6"/>
  <sheetViews>
    <sheetView workbookViewId="0">
      <selection sqref="A1:XFD1048576"/>
    </sheetView>
  </sheetViews>
  <sheetFormatPr defaultColWidth="8.6640625" defaultRowHeight="13.8" x14ac:dyDescent="0.3"/>
  <cols>
    <col min="1" max="1" width="21.44140625" style="16" customWidth="1"/>
    <col min="2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6384" width="8.6640625" style="16"/>
  </cols>
  <sheetData>
    <row r="1" spans="1:9" x14ac:dyDescent="0.3">
      <c r="A1" s="35" t="s">
        <v>443</v>
      </c>
      <c r="B1" s="36"/>
      <c r="C1" s="36"/>
      <c r="D1" s="35"/>
      <c r="E1" s="36"/>
      <c r="F1" s="35"/>
      <c r="G1" s="35"/>
      <c r="H1" s="37"/>
      <c r="I1" s="35"/>
    </row>
    <row r="2" spans="1:9" x14ac:dyDescent="0.3">
      <c r="A2" s="38" t="s">
        <v>442</v>
      </c>
      <c r="B2" s="39"/>
      <c r="C2" s="39"/>
      <c r="D2" s="38"/>
      <c r="E2" s="39"/>
      <c r="F2" s="38"/>
      <c r="G2" s="38"/>
      <c r="H2" s="40"/>
      <c r="I2" s="41"/>
    </row>
    <row r="3" spans="1:9" ht="50.4" x14ac:dyDescent="0.3">
      <c r="A3" s="42"/>
      <c r="B3" s="43"/>
      <c r="C3" s="43"/>
      <c r="D3" s="43"/>
      <c r="E3" s="43"/>
      <c r="F3" s="43"/>
      <c r="G3" s="43" t="s">
        <v>97</v>
      </c>
      <c r="H3" s="44" t="s">
        <v>98</v>
      </c>
      <c r="I3" s="45" t="s">
        <v>0</v>
      </c>
    </row>
    <row r="4" spans="1:9" x14ac:dyDescent="0.3">
      <c r="A4" s="42" t="s">
        <v>99</v>
      </c>
      <c r="B4" s="43"/>
      <c r="C4" s="43"/>
      <c r="D4" s="43"/>
      <c r="E4" s="43"/>
      <c r="F4" s="43"/>
      <c r="G4" s="43"/>
      <c r="H4" s="44"/>
      <c r="I4" s="45"/>
    </row>
    <row r="5" spans="1:9" x14ac:dyDescent="0.3">
      <c r="A5" s="46" t="s">
        <v>100</v>
      </c>
      <c r="B5" s="46">
        <v>30</v>
      </c>
      <c r="C5" s="46"/>
      <c r="D5" s="47">
        <f>B5+C5</f>
        <v>30</v>
      </c>
      <c r="E5" s="46"/>
      <c r="F5" s="47"/>
      <c r="G5" s="47">
        <f>D5-E5-F5</f>
        <v>30</v>
      </c>
      <c r="H5" s="47">
        <v>30</v>
      </c>
      <c r="I5" s="35">
        <f>G5*H5</f>
        <v>900</v>
      </c>
    </row>
    <row r="6" spans="1:9" x14ac:dyDescent="0.3">
      <c r="A6" s="46" t="s">
        <v>101</v>
      </c>
      <c r="B6" s="46"/>
      <c r="C6" s="46"/>
      <c r="D6" s="47">
        <f>B6+C6</f>
        <v>0</v>
      </c>
      <c r="E6" s="46"/>
      <c r="F6" s="47"/>
      <c r="G6" s="47">
        <f>D6-E6-F6</f>
        <v>0</v>
      </c>
      <c r="H6" s="48">
        <v>30</v>
      </c>
      <c r="I6" s="35">
        <f>G6*H6</f>
        <v>0</v>
      </c>
    </row>
    <row r="7" spans="1:9" x14ac:dyDescent="0.3">
      <c r="A7" s="46" t="s">
        <v>102</v>
      </c>
      <c r="B7" s="46">
        <v>2000</v>
      </c>
      <c r="C7" s="46"/>
      <c r="D7" s="47">
        <f t="shared" ref="D7:D96" si="0">B7+C7</f>
        <v>2000</v>
      </c>
      <c r="E7" s="46"/>
      <c r="F7" s="46"/>
      <c r="G7" s="47">
        <f t="shared" ref="G7:G131" si="1">D7-E7-F7</f>
        <v>2000</v>
      </c>
      <c r="H7" s="48">
        <v>30</v>
      </c>
      <c r="I7" s="35">
        <f t="shared" ref="I7:I133" si="2">G7*H7</f>
        <v>60000</v>
      </c>
    </row>
    <row r="8" spans="1:9" x14ac:dyDescent="0.3">
      <c r="A8" s="46" t="s">
        <v>103</v>
      </c>
      <c r="B8" s="46">
        <v>10</v>
      </c>
      <c r="C8" s="46"/>
      <c r="D8" s="47">
        <f t="shared" si="0"/>
        <v>10</v>
      </c>
      <c r="E8" s="46"/>
      <c r="F8" s="46"/>
      <c r="G8" s="47">
        <f t="shared" si="1"/>
        <v>10</v>
      </c>
      <c r="H8" s="48">
        <v>300</v>
      </c>
      <c r="I8" s="35">
        <f t="shared" si="2"/>
        <v>3000</v>
      </c>
    </row>
    <row r="9" spans="1:9" x14ac:dyDescent="0.3">
      <c r="A9" s="46" t="s">
        <v>104</v>
      </c>
      <c r="B9" s="46"/>
      <c r="C9" s="46"/>
      <c r="D9" s="47">
        <f t="shared" si="0"/>
        <v>0</v>
      </c>
      <c r="E9" s="46"/>
      <c r="F9" s="46"/>
      <c r="G9" s="47">
        <f t="shared" si="1"/>
        <v>0</v>
      </c>
      <c r="H9" s="48">
        <v>30</v>
      </c>
      <c r="I9" s="35">
        <f t="shared" si="2"/>
        <v>0</v>
      </c>
    </row>
    <row r="10" spans="1:9" x14ac:dyDescent="0.3">
      <c r="A10" s="46" t="s">
        <v>105</v>
      </c>
      <c r="B10" s="46">
        <v>1000</v>
      </c>
      <c r="C10" s="46"/>
      <c r="D10" s="47">
        <f t="shared" si="0"/>
        <v>1000</v>
      </c>
      <c r="E10" s="46"/>
      <c r="F10" s="46"/>
      <c r="G10" s="47">
        <f t="shared" si="1"/>
        <v>1000</v>
      </c>
      <c r="H10" s="48">
        <v>20</v>
      </c>
      <c r="I10" s="35">
        <f t="shared" si="2"/>
        <v>20000</v>
      </c>
    </row>
    <row r="11" spans="1:9" x14ac:dyDescent="0.3">
      <c r="A11" s="46" t="s">
        <v>106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</row>
    <row r="12" spans="1:9" x14ac:dyDescent="0.3">
      <c r="A12" s="46" t="s">
        <v>107</v>
      </c>
      <c r="B12" s="46">
        <v>33</v>
      </c>
      <c r="C12" s="46"/>
      <c r="D12" s="47">
        <f t="shared" si="0"/>
        <v>33</v>
      </c>
      <c r="E12" s="46"/>
      <c r="F12" s="46"/>
      <c r="G12" s="47">
        <f t="shared" si="1"/>
        <v>33</v>
      </c>
      <c r="H12" s="48">
        <v>10</v>
      </c>
      <c r="I12" s="35">
        <f t="shared" si="2"/>
        <v>330</v>
      </c>
    </row>
    <row r="13" spans="1:9" x14ac:dyDescent="0.3">
      <c r="A13" s="46" t="s">
        <v>108</v>
      </c>
      <c r="B13" s="46">
        <v>7000</v>
      </c>
      <c r="C13" s="46"/>
      <c r="D13" s="47">
        <f t="shared" si="0"/>
        <v>7000</v>
      </c>
      <c r="E13" s="46"/>
      <c r="F13" s="46"/>
      <c r="G13" s="47">
        <f t="shared" si="1"/>
        <v>7000</v>
      </c>
      <c r="H13" s="48">
        <v>20</v>
      </c>
      <c r="I13" s="35">
        <f t="shared" si="2"/>
        <v>140000</v>
      </c>
    </row>
    <row r="14" spans="1:9" x14ac:dyDescent="0.3">
      <c r="A14" s="46" t="s">
        <v>109</v>
      </c>
      <c r="B14" s="46"/>
      <c r="C14" s="46"/>
      <c r="D14" s="47">
        <f t="shared" si="0"/>
        <v>0</v>
      </c>
      <c r="E14" s="46"/>
      <c r="F14" s="46"/>
      <c r="G14" s="47">
        <f t="shared" si="1"/>
        <v>0</v>
      </c>
      <c r="H14" s="48">
        <v>1500</v>
      </c>
      <c r="I14" s="35">
        <f t="shared" si="2"/>
        <v>0</v>
      </c>
    </row>
    <row r="15" spans="1:9" x14ac:dyDescent="0.3">
      <c r="A15" s="46" t="s">
        <v>110</v>
      </c>
      <c r="B15" s="46">
        <v>60</v>
      </c>
      <c r="C15" s="46"/>
      <c r="D15" s="47">
        <f t="shared" si="0"/>
        <v>60</v>
      </c>
      <c r="E15" s="46"/>
      <c r="F15" s="46"/>
      <c r="G15" s="47">
        <f t="shared" si="1"/>
        <v>60</v>
      </c>
      <c r="H15" s="48">
        <v>100</v>
      </c>
      <c r="I15" s="35">
        <f t="shared" si="2"/>
        <v>6000</v>
      </c>
    </row>
    <row r="16" spans="1:9" x14ac:dyDescent="0.3">
      <c r="A16" s="46" t="s">
        <v>111</v>
      </c>
      <c r="B16" s="46"/>
      <c r="C16" s="46"/>
      <c r="D16" s="47">
        <f t="shared" si="0"/>
        <v>0</v>
      </c>
      <c r="E16" s="46"/>
      <c r="F16" s="46"/>
      <c r="G16" s="47">
        <f t="shared" si="1"/>
        <v>0</v>
      </c>
      <c r="H16" s="48">
        <v>5</v>
      </c>
      <c r="I16" s="35">
        <f t="shared" si="2"/>
        <v>0</v>
      </c>
    </row>
    <row r="17" spans="1:9" x14ac:dyDescent="0.3">
      <c r="A17" s="46" t="s">
        <v>112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</row>
    <row r="18" spans="1:9" x14ac:dyDescent="0.3">
      <c r="A18" s="46" t="s">
        <v>113</v>
      </c>
      <c r="B18" s="46"/>
      <c r="C18" s="46"/>
      <c r="D18" s="47">
        <f t="shared" si="0"/>
        <v>0</v>
      </c>
      <c r="E18" s="46"/>
      <c r="F18" s="46"/>
      <c r="G18" s="47">
        <f t="shared" si="1"/>
        <v>0</v>
      </c>
      <c r="H18" s="48">
        <v>850</v>
      </c>
      <c r="I18" s="35">
        <f t="shared" si="2"/>
        <v>0</v>
      </c>
    </row>
    <row r="19" spans="1:9" x14ac:dyDescent="0.3">
      <c r="A19" s="46" t="s">
        <v>114</v>
      </c>
      <c r="B19" s="46">
        <v>2</v>
      </c>
      <c r="C19" s="46"/>
      <c r="D19" s="47">
        <f t="shared" si="0"/>
        <v>2</v>
      </c>
      <c r="E19" s="46"/>
      <c r="F19" s="46"/>
      <c r="G19" s="47">
        <f t="shared" si="1"/>
        <v>2</v>
      </c>
      <c r="H19" s="48">
        <v>1300</v>
      </c>
      <c r="I19" s="35">
        <f t="shared" si="2"/>
        <v>2600</v>
      </c>
    </row>
    <row r="20" spans="1:9" x14ac:dyDescent="0.3">
      <c r="A20" s="46"/>
      <c r="B20" s="46"/>
      <c r="C20" s="46"/>
      <c r="D20" s="47">
        <f t="shared" si="0"/>
        <v>0</v>
      </c>
      <c r="E20" s="46"/>
      <c r="F20" s="46"/>
      <c r="G20" s="47">
        <f t="shared" si="1"/>
        <v>0</v>
      </c>
      <c r="H20" s="48"/>
      <c r="I20" s="35">
        <f t="shared" si="2"/>
        <v>0</v>
      </c>
    </row>
    <row r="21" spans="1:9" x14ac:dyDescent="0.3">
      <c r="A21" s="42" t="s">
        <v>7</v>
      </c>
      <c r="B21" s="46"/>
      <c r="C21" s="46"/>
      <c r="D21" s="47">
        <f t="shared" si="0"/>
        <v>0</v>
      </c>
      <c r="E21" s="46"/>
      <c r="F21" s="46"/>
      <c r="G21" s="47">
        <f t="shared" si="1"/>
        <v>0</v>
      </c>
      <c r="H21" s="48"/>
      <c r="I21" s="35">
        <f t="shared" si="2"/>
        <v>0</v>
      </c>
    </row>
    <row r="22" spans="1:9" x14ac:dyDescent="0.3">
      <c r="A22" s="46" t="s">
        <v>115</v>
      </c>
      <c r="B22" s="46">
        <v>20</v>
      </c>
      <c r="C22" s="46"/>
      <c r="D22" s="47">
        <f t="shared" si="0"/>
        <v>20</v>
      </c>
      <c r="E22" s="46"/>
      <c r="F22" s="46"/>
      <c r="G22" s="47">
        <f t="shared" si="1"/>
        <v>20</v>
      </c>
      <c r="H22" s="48">
        <v>25</v>
      </c>
      <c r="I22" s="35">
        <f t="shared" si="2"/>
        <v>500</v>
      </c>
    </row>
    <row r="23" spans="1:9" x14ac:dyDescent="0.3">
      <c r="A23" s="46" t="s">
        <v>116</v>
      </c>
      <c r="B23" s="46">
        <v>150</v>
      </c>
      <c r="C23" s="46"/>
      <c r="D23" s="47">
        <f>B23+C23</f>
        <v>150</v>
      </c>
      <c r="E23" s="46"/>
      <c r="F23" s="46"/>
      <c r="G23" s="47">
        <f>D23-E23-F23</f>
        <v>150</v>
      </c>
      <c r="H23" s="48">
        <v>50</v>
      </c>
      <c r="I23" s="35">
        <f t="shared" si="2"/>
        <v>7500</v>
      </c>
    </row>
    <row r="24" spans="1:9" x14ac:dyDescent="0.3">
      <c r="A24" s="46" t="s">
        <v>117</v>
      </c>
      <c r="B24" s="46">
        <v>200</v>
      </c>
      <c r="C24" s="46"/>
      <c r="D24" s="47">
        <f t="shared" si="0"/>
        <v>200</v>
      </c>
      <c r="E24" s="46"/>
      <c r="F24" s="46"/>
      <c r="G24" s="47">
        <f t="shared" si="1"/>
        <v>200</v>
      </c>
      <c r="H24" s="48">
        <v>70</v>
      </c>
      <c r="I24" s="35">
        <f>G24*H24</f>
        <v>14000</v>
      </c>
    </row>
    <row r="25" spans="1:9" x14ac:dyDescent="0.3">
      <c r="A25" s="46" t="s">
        <v>118</v>
      </c>
      <c r="B25" s="46">
        <v>20</v>
      </c>
      <c r="C25" s="46"/>
      <c r="D25" s="47">
        <f t="shared" si="0"/>
        <v>20</v>
      </c>
      <c r="E25" s="46"/>
      <c r="F25" s="46"/>
      <c r="G25" s="47">
        <f t="shared" si="1"/>
        <v>20</v>
      </c>
      <c r="H25" s="48">
        <v>70</v>
      </c>
      <c r="I25" s="35">
        <f t="shared" si="2"/>
        <v>1400</v>
      </c>
    </row>
    <row r="26" spans="1:9" x14ac:dyDescent="0.3">
      <c r="A26" s="46" t="s">
        <v>119</v>
      </c>
      <c r="B26" s="46">
        <v>85</v>
      </c>
      <c r="C26" s="46"/>
      <c r="D26" s="47">
        <f t="shared" si="0"/>
        <v>85</v>
      </c>
      <c r="E26" s="46"/>
      <c r="F26" s="46"/>
      <c r="G26" s="47">
        <f t="shared" si="1"/>
        <v>85</v>
      </c>
      <c r="H26" s="48">
        <v>100</v>
      </c>
      <c r="I26" s="35">
        <f t="shared" si="2"/>
        <v>8500</v>
      </c>
    </row>
    <row r="27" spans="1:9" x14ac:dyDescent="0.3">
      <c r="A27" s="46" t="s">
        <v>120</v>
      </c>
      <c r="B27" s="46">
        <v>95</v>
      </c>
      <c r="C27" s="46"/>
      <c r="D27" s="47">
        <v>105</v>
      </c>
      <c r="E27" s="46"/>
      <c r="F27" s="46"/>
      <c r="G27" s="47">
        <f t="shared" si="1"/>
        <v>105</v>
      </c>
      <c r="H27" s="48">
        <v>50</v>
      </c>
      <c r="I27" s="35">
        <f t="shared" si="2"/>
        <v>5250</v>
      </c>
    </row>
    <row r="28" spans="1:9" x14ac:dyDescent="0.3">
      <c r="A28" s="46" t="s">
        <v>121</v>
      </c>
      <c r="B28" s="46">
        <v>90</v>
      </c>
      <c r="C28" s="46"/>
      <c r="D28" s="47">
        <f t="shared" si="0"/>
        <v>90</v>
      </c>
      <c r="E28" s="46"/>
      <c r="F28" s="46"/>
      <c r="G28" s="47">
        <f t="shared" si="1"/>
        <v>90</v>
      </c>
      <c r="H28" s="48">
        <v>60</v>
      </c>
      <c r="I28" s="35">
        <f t="shared" si="2"/>
        <v>5400</v>
      </c>
    </row>
    <row r="29" spans="1:9" x14ac:dyDescent="0.3">
      <c r="A29" s="42" t="s">
        <v>122</v>
      </c>
      <c r="B29" s="46"/>
      <c r="C29" s="46"/>
      <c r="D29" s="47">
        <f t="shared" si="0"/>
        <v>0</v>
      </c>
      <c r="E29" s="46"/>
      <c r="F29" s="46"/>
      <c r="G29" s="47">
        <f t="shared" si="1"/>
        <v>0</v>
      </c>
      <c r="H29" s="48"/>
      <c r="I29" s="35">
        <f t="shared" si="2"/>
        <v>0</v>
      </c>
    </row>
    <row r="30" spans="1:9" x14ac:dyDescent="0.3">
      <c r="A30" s="46" t="s">
        <v>123</v>
      </c>
      <c r="B30" s="46"/>
      <c r="C30" s="46"/>
      <c r="D30" s="47">
        <f t="shared" si="0"/>
        <v>0</v>
      </c>
      <c r="E30" s="46"/>
      <c r="F30" s="46"/>
      <c r="G30" s="47">
        <f t="shared" si="1"/>
        <v>0</v>
      </c>
      <c r="H30" s="48">
        <v>6200</v>
      </c>
      <c r="I30" s="35">
        <f t="shared" si="2"/>
        <v>0</v>
      </c>
    </row>
    <row r="31" spans="1:9" x14ac:dyDescent="0.3">
      <c r="A31" s="46" t="s">
        <v>124</v>
      </c>
      <c r="B31" s="46">
        <v>4500</v>
      </c>
      <c r="C31" s="46"/>
      <c r="D31" s="47">
        <f t="shared" si="0"/>
        <v>4500</v>
      </c>
      <c r="E31" s="46"/>
      <c r="F31" s="46"/>
      <c r="G31" s="47">
        <f t="shared" si="1"/>
        <v>4500</v>
      </c>
      <c r="H31" s="48">
        <v>20</v>
      </c>
      <c r="I31" s="35">
        <f t="shared" si="2"/>
        <v>90000</v>
      </c>
    </row>
    <row r="32" spans="1:9" x14ac:dyDescent="0.3">
      <c r="A32" s="46" t="s">
        <v>125</v>
      </c>
      <c r="B32" s="46"/>
      <c r="C32" s="46"/>
      <c r="D32" s="47">
        <f t="shared" si="0"/>
        <v>0</v>
      </c>
      <c r="E32" s="46"/>
      <c r="F32" s="46"/>
      <c r="G32" s="47">
        <f t="shared" si="1"/>
        <v>0</v>
      </c>
      <c r="H32" s="48">
        <v>30</v>
      </c>
      <c r="I32" s="35">
        <f t="shared" si="2"/>
        <v>0</v>
      </c>
    </row>
    <row r="33" spans="1:9" x14ac:dyDescent="0.3">
      <c r="A33" s="46"/>
      <c r="B33" s="46"/>
      <c r="C33" s="46"/>
      <c r="D33" s="47">
        <f t="shared" si="0"/>
        <v>0</v>
      </c>
      <c r="E33" s="46"/>
      <c r="F33" s="46"/>
      <c r="G33" s="47">
        <f t="shared" si="1"/>
        <v>0</v>
      </c>
      <c r="H33" s="48"/>
      <c r="I33" s="35">
        <f t="shared" si="2"/>
        <v>0</v>
      </c>
    </row>
    <row r="34" spans="1:9" x14ac:dyDescent="0.3">
      <c r="A34" s="42" t="s">
        <v>126</v>
      </c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/>
      <c r="I34" s="35">
        <f t="shared" si="2"/>
        <v>0</v>
      </c>
    </row>
    <row r="35" spans="1:9" x14ac:dyDescent="0.3">
      <c r="A35" s="46" t="s">
        <v>127</v>
      </c>
      <c r="B35" s="46">
        <v>2000</v>
      </c>
      <c r="C35" s="46"/>
      <c r="D35" s="47">
        <f t="shared" si="0"/>
        <v>2000</v>
      </c>
      <c r="E35" s="46"/>
      <c r="F35" s="46"/>
      <c r="G35" s="47">
        <f t="shared" si="1"/>
        <v>2000</v>
      </c>
      <c r="H35" s="48">
        <v>6</v>
      </c>
      <c r="I35" s="35">
        <f t="shared" si="2"/>
        <v>12000</v>
      </c>
    </row>
    <row r="36" spans="1:9" x14ac:dyDescent="0.3">
      <c r="A36" s="46" t="s">
        <v>128</v>
      </c>
      <c r="B36" s="46">
        <v>2000</v>
      </c>
      <c r="C36" s="46"/>
      <c r="D36" s="47">
        <f t="shared" si="0"/>
        <v>2000</v>
      </c>
      <c r="E36" s="46"/>
      <c r="F36" s="46"/>
      <c r="G36" s="47">
        <f t="shared" si="1"/>
        <v>2000</v>
      </c>
      <c r="H36" s="48">
        <v>6</v>
      </c>
      <c r="I36" s="35">
        <f t="shared" si="2"/>
        <v>12000</v>
      </c>
    </row>
    <row r="37" spans="1:9" x14ac:dyDescent="0.3">
      <c r="A37" s="46" t="s">
        <v>129</v>
      </c>
      <c r="B37" s="46">
        <v>2000</v>
      </c>
      <c r="C37" s="46"/>
      <c r="D37" s="47">
        <f t="shared" si="0"/>
        <v>2000</v>
      </c>
      <c r="E37" s="46"/>
      <c r="F37" s="46"/>
      <c r="G37" s="47">
        <f t="shared" si="1"/>
        <v>2000</v>
      </c>
      <c r="H37" s="48">
        <v>10</v>
      </c>
      <c r="I37" s="35">
        <f t="shared" si="2"/>
        <v>20000</v>
      </c>
    </row>
    <row r="38" spans="1:9" x14ac:dyDescent="0.3">
      <c r="A38" s="46" t="s">
        <v>130</v>
      </c>
      <c r="B38" s="46"/>
      <c r="C38" s="46"/>
      <c r="D38" s="47">
        <f t="shared" si="0"/>
        <v>0</v>
      </c>
      <c r="E38" s="46"/>
      <c r="F38" s="46"/>
      <c r="G38" s="47">
        <f t="shared" si="1"/>
        <v>0</v>
      </c>
      <c r="H38" s="48">
        <v>30</v>
      </c>
      <c r="I38" s="35">
        <f t="shared" si="2"/>
        <v>0</v>
      </c>
    </row>
    <row r="39" spans="1:9" x14ac:dyDescent="0.3">
      <c r="A39" s="46" t="s">
        <v>131</v>
      </c>
      <c r="B39" s="46"/>
      <c r="C39" s="46"/>
      <c r="D39" s="47">
        <f t="shared" si="0"/>
        <v>0</v>
      </c>
      <c r="E39" s="46"/>
      <c r="F39" s="46"/>
      <c r="G39" s="47">
        <f t="shared" si="1"/>
        <v>0</v>
      </c>
      <c r="H39" s="48">
        <v>50</v>
      </c>
      <c r="I39" s="35">
        <f t="shared" si="2"/>
        <v>0</v>
      </c>
    </row>
    <row r="40" spans="1:9" x14ac:dyDescent="0.3">
      <c r="A40" s="46" t="s">
        <v>132</v>
      </c>
      <c r="B40" s="46">
        <v>10</v>
      </c>
      <c r="C40" s="46"/>
      <c r="D40" s="47">
        <f t="shared" si="0"/>
        <v>10</v>
      </c>
      <c r="E40" s="46"/>
      <c r="F40" s="46"/>
      <c r="G40" s="47">
        <f t="shared" si="1"/>
        <v>10</v>
      </c>
      <c r="H40" s="49">
        <v>700</v>
      </c>
      <c r="I40" s="35">
        <f t="shared" si="2"/>
        <v>7000</v>
      </c>
    </row>
    <row r="41" spans="1:9" x14ac:dyDescent="0.3">
      <c r="A41" s="46" t="s">
        <v>133</v>
      </c>
      <c r="B41" s="46">
        <v>10</v>
      </c>
      <c r="C41" s="46"/>
      <c r="D41" s="47">
        <f t="shared" si="0"/>
        <v>10</v>
      </c>
      <c r="E41" s="46"/>
      <c r="F41" s="46"/>
      <c r="G41" s="47">
        <f t="shared" si="1"/>
        <v>10</v>
      </c>
      <c r="H41" s="48">
        <v>820</v>
      </c>
      <c r="I41" s="35">
        <f t="shared" si="2"/>
        <v>8200</v>
      </c>
    </row>
    <row r="42" spans="1:9" x14ac:dyDescent="0.3">
      <c r="A42" s="46" t="s">
        <v>134</v>
      </c>
      <c r="B42" s="46">
        <v>40</v>
      </c>
      <c r="C42" s="46"/>
      <c r="D42" s="47">
        <f t="shared" si="0"/>
        <v>40</v>
      </c>
      <c r="E42" s="46"/>
      <c r="F42" s="46"/>
      <c r="G42" s="47">
        <f t="shared" si="1"/>
        <v>40</v>
      </c>
      <c r="H42" s="49">
        <v>900</v>
      </c>
      <c r="I42" s="35">
        <f t="shared" si="2"/>
        <v>36000</v>
      </c>
    </row>
    <row r="43" spans="1:9" x14ac:dyDescent="0.3">
      <c r="A43" s="46" t="s">
        <v>135</v>
      </c>
      <c r="B43" s="46">
        <v>800</v>
      </c>
      <c r="C43" s="46"/>
      <c r="D43" s="47">
        <f t="shared" si="0"/>
        <v>800</v>
      </c>
      <c r="E43" s="46"/>
      <c r="F43" s="46"/>
      <c r="G43" s="47">
        <f t="shared" si="1"/>
        <v>800</v>
      </c>
      <c r="H43" s="48">
        <v>2.5</v>
      </c>
      <c r="I43" s="35">
        <f t="shared" si="2"/>
        <v>2000</v>
      </c>
    </row>
    <row r="44" spans="1:9" x14ac:dyDescent="0.3">
      <c r="A44" s="46" t="s">
        <v>136</v>
      </c>
      <c r="B44" s="46">
        <v>10</v>
      </c>
      <c r="C44" s="46"/>
      <c r="D44" s="47">
        <f t="shared" si="0"/>
        <v>10</v>
      </c>
      <c r="E44" s="46"/>
      <c r="F44" s="46"/>
      <c r="G44" s="47">
        <f t="shared" si="1"/>
        <v>10</v>
      </c>
      <c r="H44" s="48">
        <v>800</v>
      </c>
      <c r="I44" s="35">
        <f t="shared" si="2"/>
        <v>8000</v>
      </c>
    </row>
    <row r="45" spans="1:9" x14ac:dyDescent="0.3">
      <c r="A45" s="46" t="s">
        <v>137</v>
      </c>
      <c r="B45" s="46">
        <v>15</v>
      </c>
      <c r="C45" s="46"/>
      <c r="D45" s="47">
        <f t="shared" si="0"/>
        <v>15</v>
      </c>
      <c r="E45" s="46"/>
      <c r="F45" s="46"/>
      <c r="G45" s="47">
        <f t="shared" si="1"/>
        <v>15</v>
      </c>
      <c r="H45" s="48">
        <v>600</v>
      </c>
      <c r="I45" s="35">
        <f t="shared" si="2"/>
        <v>9000</v>
      </c>
    </row>
    <row r="46" spans="1:9" x14ac:dyDescent="0.3">
      <c r="A46" s="46" t="s">
        <v>138</v>
      </c>
      <c r="B46" s="46">
        <v>10</v>
      </c>
      <c r="C46" s="46"/>
      <c r="D46" s="47">
        <f t="shared" si="0"/>
        <v>10</v>
      </c>
      <c r="E46" s="46"/>
      <c r="F46" s="46"/>
      <c r="G46" s="47">
        <f t="shared" si="1"/>
        <v>10</v>
      </c>
      <c r="H46" s="48">
        <v>900</v>
      </c>
      <c r="I46" s="35">
        <f t="shared" si="2"/>
        <v>9000</v>
      </c>
    </row>
    <row r="47" spans="1:9" x14ac:dyDescent="0.3">
      <c r="A47" s="46" t="s">
        <v>139</v>
      </c>
      <c r="B47" s="46">
        <v>7</v>
      </c>
      <c r="C47" s="46"/>
      <c r="D47" s="47">
        <f t="shared" si="0"/>
        <v>7</v>
      </c>
      <c r="E47" s="46"/>
      <c r="F47" s="46"/>
      <c r="G47" s="47">
        <f t="shared" si="1"/>
        <v>7</v>
      </c>
      <c r="H47" s="48">
        <v>1700</v>
      </c>
      <c r="I47" s="35">
        <f t="shared" si="2"/>
        <v>11900</v>
      </c>
    </row>
    <row r="48" spans="1:9" x14ac:dyDescent="0.3">
      <c r="A48" s="46" t="s">
        <v>140</v>
      </c>
      <c r="B48" s="46"/>
      <c r="C48" s="46"/>
      <c r="D48" s="47">
        <f t="shared" si="0"/>
        <v>0</v>
      </c>
      <c r="E48" s="46"/>
      <c r="F48" s="46"/>
      <c r="G48" s="47">
        <f t="shared" si="1"/>
        <v>0</v>
      </c>
      <c r="H48" s="48">
        <v>2000</v>
      </c>
      <c r="I48" s="35">
        <f t="shared" si="2"/>
        <v>0</v>
      </c>
    </row>
    <row r="49" spans="1:9" x14ac:dyDescent="0.3">
      <c r="A49" s="46" t="s">
        <v>141</v>
      </c>
      <c r="B49" s="46"/>
      <c r="C49" s="46"/>
      <c r="D49" s="47">
        <f t="shared" si="0"/>
        <v>0</v>
      </c>
      <c r="E49" s="46"/>
      <c r="F49" s="46"/>
      <c r="G49" s="47">
        <f t="shared" si="1"/>
        <v>0</v>
      </c>
      <c r="H49" s="48">
        <v>400</v>
      </c>
      <c r="I49" s="35">
        <f t="shared" si="2"/>
        <v>0</v>
      </c>
    </row>
    <row r="50" spans="1:9" x14ac:dyDescent="0.3">
      <c r="A50" s="46" t="s">
        <v>142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3000</v>
      </c>
      <c r="I50" s="35">
        <f t="shared" si="2"/>
        <v>0</v>
      </c>
    </row>
    <row r="51" spans="1:9" x14ac:dyDescent="0.3">
      <c r="A51" s="46" t="s">
        <v>143</v>
      </c>
      <c r="B51" s="46">
        <v>10</v>
      </c>
      <c r="C51" s="46"/>
      <c r="D51" s="47">
        <f t="shared" si="0"/>
        <v>10</v>
      </c>
      <c r="E51" s="46"/>
      <c r="F51" s="46"/>
      <c r="G51" s="47">
        <f t="shared" si="1"/>
        <v>10</v>
      </c>
      <c r="H51" s="48">
        <v>950</v>
      </c>
      <c r="I51" s="35">
        <f t="shared" si="2"/>
        <v>9500</v>
      </c>
    </row>
    <row r="52" spans="1:9" x14ac:dyDescent="0.3">
      <c r="A52" s="46" t="s">
        <v>144</v>
      </c>
      <c r="B52" s="46">
        <v>20</v>
      </c>
      <c r="C52" s="46"/>
      <c r="D52" s="47">
        <f t="shared" si="0"/>
        <v>20</v>
      </c>
      <c r="E52" s="46"/>
      <c r="F52" s="46"/>
      <c r="G52" s="47">
        <f t="shared" si="1"/>
        <v>20</v>
      </c>
      <c r="H52" s="48">
        <v>400</v>
      </c>
      <c r="I52" s="35">
        <f t="shared" si="2"/>
        <v>8000</v>
      </c>
    </row>
    <row r="53" spans="1:9" x14ac:dyDescent="0.3">
      <c r="A53" s="46" t="s">
        <v>145</v>
      </c>
      <c r="B53" s="46">
        <v>1000</v>
      </c>
      <c r="C53" s="46"/>
      <c r="D53" s="47">
        <f t="shared" si="0"/>
        <v>1000</v>
      </c>
      <c r="E53" s="46"/>
      <c r="F53" s="46"/>
      <c r="G53" s="47">
        <f t="shared" si="1"/>
        <v>1000</v>
      </c>
      <c r="H53" s="48">
        <v>10</v>
      </c>
      <c r="I53" s="35">
        <f t="shared" si="2"/>
        <v>10000</v>
      </c>
    </row>
    <row r="54" spans="1:9" x14ac:dyDescent="0.3">
      <c r="A54" s="46" t="s">
        <v>146</v>
      </c>
      <c r="B54" s="46">
        <v>50</v>
      </c>
      <c r="C54" s="46"/>
      <c r="D54" s="47">
        <f t="shared" si="0"/>
        <v>50</v>
      </c>
      <c r="E54" s="46"/>
      <c r="F54" s="46"/>
      <c r="G54" s="47">
        <f t="shared" si="1"/>
        <v>50</v>
      </c>
      <c r="H54" s="48">
        <v>10</v>
      </c>
      <c r="I54" s="35">
        <f t="shared" si="2"/>
        <v>500</v>
      </c>
    </row>
    <row r="55" spans="1:9" x14ac:dyDescent="0.3">
      <c r="A55" s="46" t="s">
        <v>147</v>
      </c>
      <c r="B55" s="46">
        <v>10</v>
      </c>
      <c r="C55" s="46"/>
      <c r="D55" s="47">
        <f t="shared" si="0"/>
        <v>10</v>
      </c>
      <c r="E55" s="46"/>
      <c r="F55" s="46"/>
      <c r="G55" s="47">
        <f t="shared" si="1"/>
        <v>10</v>
      </c>
      <c r="H55" s="48">
        <v>300</v>
      </c>
      <c r="I55" s="35">
        <f t="shared" si="2"/>
        <v>3000</v>
      </c>
    </row>
    <row r="56" spans="1:9" x14ac:dyDescent="0.3">
      <c r="A56" s="46" t="s">
        <v>148</v>
      </c>
      <c r="B56" s="46">
        <v>3</v>
      </c>
      <c r="C56" s="46"/>
      <c r="D56" s="47">
        <f t="shared" si="0"/>
        <v>3</v>
      </c>
      <c r="E56" s="46"/>
      <c r="F56" s="46"/>
      <c r="G56" s="47">
        <f t="shared" si="1"/>
        <v>3</v>
      </c>
      <c r="H56" s="48">
        <v>1100</v>
      </c>
      <c r="I56" s="35">
        <f t="shared" si="2"/>
        <v>3300</v>
      </c>
    </row>
    <row r="57" spans="1:9" x14ac:dyDescent="0.3">
      <c r="A57" s="46" t="s">
        <v>149</v>
      </c>
      <c r="B57" s="46"/>
      <c r="C57" s="46"/>
      <c r="D57" s="47">
        <f t="shared" si="0"/>
        <v>0</v>
      </c>
      <c r="E57" s="46"/>
      <c r="F57" s="46"/>
      <c r="G57" s="47">
        <f t="shared" si="1"/>
        <v>0</v>
      </c>
      <c r="H57" s="48">
        <v>800</v>
      </c>
      <c r="I57" s="35">
        <f t="shared" si="2"/>
        <v>0</v>
      </c>
    </row>
    <row r="58" spans="1:9" x14ac:dyDescent="0.3">
      <c r="A58" s="46" t="s">
        <v>150</v>
      </c>
      <c r="B58" s="46">
        <v>1</v>
      </c>
      <c r="C58" s="46"/>
      <c r="D58" s="47">
        <f t="shared" si="0"/>
        <v>1</v>
      </c>
      <c r="E58" s="46"/>
      <c r="F58" s="46"/>
      <c r="G58" s="47">
        <f t="shared" si="1"/>
        <v>1</v>
      </c>
      <c r="H58" s="48">
        <v>1000</v>
      </c>
      <c r="I58" s="35">
        <f t="shared" si="2"/>
        <v>1000</v>
      </c>
    </row>
    <row r="59" spans="1:9" x14ac:dyDescent="0.3">
      <c r="A59" s="46" t="s">
        <v>151</v>
      </c>
      <c r="B59" s="46"/>
      <c r="C59" s="46"/>
      <c r="D59" s="47">
        <f t="shared" si="0"/>
        <v>0</v>
      </c>
      <c r="E59" s="46"/>
      <c r="F59" s="46"/>
      <c r="G59" s="47">
        <f t="shared" si="1"/>
        <v>0</v>
      </c>
      <c r="H59" s="48">
        <v>1000</v>
      </c>
      <c r="I59" s="35">
        <f t="shared" si="2"/>
        <v>0</v>
      </c>
    </row>
    <row r="60" spans="1:9" x14ac:dyDescent="0.3">
      <c r="A60" s="46" t="s">
        <v>152</v>
      </c>
      <c r="B60" s="46"/>
      <c r="C60" s="46"/>
      <c r="D60" s="47">
        <f t="shared" si="0"/>
        <v>0</v>
      </c>
      <c r="E60" s="46"/>
      <c r="F60" s="46"/>
      <c r="G60" s="47">
        <f t="shared" si="1"/>
        <v>0</v>
      </c>
      <c r="H60" s="48">
        <v>1300</v>
      </c>
      <c r="I60" s="35">
        <f t="shared" si="2"/>
        <v>0</v>
      </c>
    </row>
    <row r="61" spans="1:9" x14ac:dyDescent="0.3">
      <c r="A61" s="46" t="s">
        <v>153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1100</v>
      </c>
      <c r="I61" s="35">
        <f t="shared" si="2"/>
        <v>0</v>
      </c>
    </row>
    <row r="62" spans="1:9" x14ac:dyDescent="0.3">
      <c r="A62" s="46" t="s">
        <v>154</v>
      </c>
      <c r="B62" s="46"/>
      <c r="C62" s="46"/>
      <c r="D62" s="47">
        <f t="shared" si="0"/>
        <v>0</v>
      </c>
      <c r="E62" s="46"/>
      <c r="F62" s="46"/>
      <c r="G62" s="47">
        <f t="shared" si="1"/>
        <v>0</v>
      </c>
      <c r="H62" s="48"/>
      <c r="I62" s="35">
        <f t="shared" si="2"/>
        <v>0</v>
      </c>
    </row>
    <row r="63" spans="1:9" x14ac:dyDescent="0.3">
      <c r="A63" s="46" t="s">
        <v>155</v>
      </c>
      <c r="B63" s="46">
        <v>10</v>
      </c>
      <c r="C63" s="46"/>
      <c r="D63" s="47">
        <f t="shared" si="0"/>
        <v>10</v>
      </c>
      <c r="E63" s="46"/>
      <c r="F63" s="46"/>
      <c r="G63" s="47">
        <f t="shared" si="1"/>
        <v>10</v>
      </c>
      <c r="H63" s="48">
        <v>500</v>
      </c>
      <c r="I63" s="35">
        <f t="shared" si="2"/>
        <v>5000</v>
      </c>
    </row>
    <row r="64" spans="1:9" x14ac:dyDescent="0.3">
      <c r="A64" s="46" t="s">
        <v>156</v>
      </c>
      <c r="B64" s="46">
        <v>3</v>
      </c>
      <c r="C64" s="46"/>
      <c r="D64" s="47">
        <f t="shared" si="0"/>
        <v>3</v>
      </c>
      <c r="E64" s="46"/>
      <c r="F64" s="46"/>
      <c r="G64" s="47">
        <f t="shared" si="1"/>
        <v>3</v>
      </c>
      <c r="H64" s="49">
        <v>800</v>
      </c>
      <c r="I64" s="35">
        <f t="shared" si="2"/>
        <v>2400</v>
      </c>
    </row>
    <row r="65" spans="1:9" x14ac:dyDescent="0.3">
      <c r="A65" s="46" t="s">
        <v>157</v>
      </c>
      <c r="B65" s="46"/>
      <c r="C65" s="46"/>
      <c r="D65" s="47">
        <f t="shared" si="0"/>
        <v>0</v>
      </c>
      <c r="E65" s="46"/>
      <c r="F65" s="46"/>
      <c r="G65" s="47">
        <f t="shared" si="1"/>
        <v>0</v>
      </c>
      <c r="H65" s="48">
        <v>200</v>
      </c>
      <c r="I65" s="35">
        <f t="shared" si="2"/>
        <v>0</v>
      </c>
    </row>
    <row r="66" spans="1:9" x14ac:dyDescent="0.3">
      <c r="A66" s="46" t="s">
        <v>158</v>
      </c>
      <c r="B66" s="46"/>
      <c r="C66" s="46"/>
      <c r="D66" s="47">
        <f t="shared" si="0"/>
        <v>0</v>
      </c>
      <c r="E66" s="46"/>
      <c r="F66" s="46"/>
      <c r="G66" s="47">
        <f t="shared" si="1"/>
        <v>0</v>
      </c>
      <c r="H66" s="48">
        <v>850</v>
      </c>
      <c r="I66" s="35">
        <f t="shared" si="2"/>
        <v>0</v>
      </c>
    </row>
    <row r="67" spans="1:9" x14ac:dyDescent="0.3">
      <c r="A67" s="46" t="s">
        <v>159</v>
      </c>
      <c r="B67" s="46"/>
      <c r="C67" s="46"/>
      <c r="D67" s="47">
        <f t="shared" si="0"/>
        <v>0</v>
      </c>
      <c r="E67" s="46"/>
      <c r="F67" s="46"/>
      <c r="G67" s="47">
        <f t="shared" si="1"/>
        <v>0</v>
      </c>
      <c r="H67" s="48">
        <v>750</v>
      </c>
      <c r="I67" s="35">
        <f t="shared" si="2"/>
        <v>0</v>
      </c>
    </row>
    <row r="68" spans="1:9" x14ac:dyDescent="0.3">
      <c r="A68" s="46" t="s">
        <v>160</v>
      </c>
      <c r="B68" s="46"/>
      <c r="C68" s="46"/>
      <c r="D68" s="47">
        <f t="shared" si="0"/>
        <v>0</v>
      </c>
      <c r="E68" s="46"/>
      <c r="F68" s="46"/>
      <c r="G68" s="47">
        <f t="shared" si="1"/>
        <v>0</v>
      </c>
      <c r="H68" s="48">
        <v>290</v>
      </c>
      <c r="I68" s="35">
        <f t="shared" si="2"/>
        <v>0</v>
      </c>
    </row>
    <row r="69" spans="1:9" x14ac:dyDescent="0.3">
      <c r="A69" s="46" t="s">
        <v>161</v>
      </c>
      <c r="B69" s="46"/>
      <c r="C69" s="46"/>
      <c r="D69" s="47">
        <f t="shared" si="0"/>
        <v>0</v>
      </c>
      <c r="E69" s="46"/>
      <c r="F69" s="46"/>
      <c r="G69" s="47">
        <f t="shared" si="1"/>
        <v>0</v>
      </c>
      <c r="H69" s="48">
        <v>600</v>
      </c>
      <c r="I69" s="35">
        <f t="shared" si="2"/>
        <v>0</v>
      </c>
    </row>
    <row r="70" spans="1:9" x14ac:dyDescent="0.3">
      <c r="A70" s="46" t="s">
        <v>162</v>
      </c>
      <c r="B70" s="46"/>
      <c r="C70" s="46"/>
      <c r="D70" s="47">
        <f t="shared" si="0"/>
        <v>0</v>
      </c>
      <c r="E70" s="46"/>
      <c r="F70" s="46"/>
      <c r="G70" s="47">
        <f t="shared" si="1"/>
        <v>0</v>
      </c>
      <c r="H70" s="48">
        <v>1300</v>
      </c>
      <c r="I70" s="35">
        <f t="shared" si="2"/>
        <v>0</v>
      </c>
    </row>
    <row r="71" spans="1:9" x14ac:dyDescent="0.3">
      <c r="A71" s="46" t="s">
        <v>163</v>
      </c>
      <c r="B71" s="46">
        <v>10</v>
      </c>
      <c r="C71" s="46"/>
      <c r="D71" s="47">
        <f t="shared" si="0"/>
        <v>10</v>
      </c>
      <c r="E71" s="46"/>
      <c r="F71" s="46"/>
      <c r="G71" s="47">
        <f t="shared" si="1"/>
        <v>10</v>
      </c>
      <c r="H71" s="48">
        <v>580</v>
      </c>
      <c r="I71" s="35">
        <f t="shared" si="2"/>
        <v>5800</v>
      </c>
    </row>
    <row r="72" spans="1:9" x14ac:dyDescent="0.3">
      <c r="A72" s="46" t="s">
        <v>164</v>
      </c>
      <c r="B72" s="46">
        <v>10</v>
      </c>
      <c r="C72" s="46"/>
      <c r="D72" s="47">
        <f t="shared" si="0"/>
        <v>10</v>
      </c>
      <c r="E72" s="46"/>
      <c r="F72" s="46"/>
      <c r="G72" s="47">
        <f t="shared" si="1"/>
        <v>10</v>
      </c>
      <c r="H72" s="48">
        <v>2300</v>
      </c>
      <c r="I72" s="35">
        <f t="shared" si="2"/>
        <v>23000</v>
      </c>
    </row>
    <row r="73" spans="1:9" x14ac:dyDescent="0.3">
      <c r="A73" s="46" t="s">
        <v>165</v>
      </c>
      <c r="B73" s="46"/>
      <c r="C73" s="46"/>
      <c r="D73" s="47">
        <f t="shared" si="0"/>
        <v>0</v>
      </c>
      <c r="E73" s="46"/>
      <c r="F73" s="46"/>
      <c r="G73" s="47">
        <f t="shared" si="1"/>
        <v>0</v>
      </c>
      <c r="H73" s="48">
        <v>450</v>
      </c>
      <c r="I73" s="35">
        <f t="shared" si="2"/>
        <v>0</v>
      </c>
    </row>
    <row r="74" spans="1:9" x14ac:dyDescent="0.3">
      <c r="A74" s="46" t="s">
        <v>166</v>
      </c>
      <c r="B74" s="46"/>
      <c r="C74" s="46"/>
      <c r="D74" s="47">
        <f t="shared" si="0"/>
        <v>0</v>
      </c>
      <c r="E74" s="46"/>
      <c r="F74" s="46"/>
      <c r="G74" s="47">
        <f t="shared" si="1"/>
        <v>0</v>
      </c>
      <c r="H74" s="48">
        <v>950</v>
      </c>
      <c r="I74" s="35">
        <f t="shared" si="2"/>
        <v>0</v>
      </c>
    </row>
    <row r="75" spans="1:9" x14ac:dyDescent="0.3">
      <c r="A75" s="46" t="s">
        <v>167</v>
      </c>
      <c r="B75" s="46">
        <v>5</v>
      </c>
      <c r="C75" s="46"/>
      <c r="D75" s="47">
        <f t="shared" si="0"/>
        <v>5</v>
      </c>
      <c r="E75" s="46"/>
      <c r="F75" s="46"/>
      <c r="G75" s="47">
        <f t="shared" si="1"/>
        <v>5</v>
      </c>
      <c r="H75" s="48">
        <v>3200</v>
      </c>
      <c r="I75" s="35">
        <f t="shared" si="2"/>
        <v>16000</v>
      </c>
    </row>
    <row r="76" spans="1:9" x14ac:dyDescent="0.3">
      <c r="A76" s="46" t="s">
        <v>168</v>
      </c>
      <c r="B76" s="46"/>
      <c r="C76" s="46"/>
      <c r="D76" s="47">
        <f t="shared" si="0"/>
        <v>0</v>
      </c>
      <c r="E76" s="46"/>
      <c r="F76" s="46"/>
      <c r="G76" s="47">
        <f t="shared" si="1"/>
        <v>0</v>
      </c>
      <c r="H76" s="48">
        <v>1000</v>
      </c>
      <c r="I76" s="35">
        <f t="shared" si="2"/>
        <v>0</v>
      </c>
    </row>
    <row r="77" spans="1:9" x14ac:dyDescent="0.3">
      <c r="A77" s="46" t="s">
        <v>169</v>
      </c>
      <c r="B77" s="46">
        <v>2</v>
      </c>
      <c r="C77" s="46"/>
      <c r="D77" s="47">
        <f t="shared" si="0"/>
        <v>2</v>
      </c>
      <c r="E77" s="46"/>
      <c r="F77" s="46"/>
      <c r="G77" s="47">
        <f t="shared" si="1"/>
        <v>2</v>
      </c>
      <c r="H77" s="48">
        <v>1800</v>
      </c>
      <c r="I77" s="35">
        <f t="shared" si="2"/>
        <v>3600</v>
      </c>
    </row>
    <row r="78" spans="1:9" x14ac:dyDescent="0.3">
      <c r="A78" s="46" t="s">
        <v>170</v>
      </c>
      <c r="B78" s="46"/>
      <c r="C78" s="46"/>
      <c r="D78" s="47">
        <f t="shared" si="0"/>
        <v>0</v>
      </c>
      <c r="E78" s="46"/>
      <c r="F78" s="46"/>
      <c r="G78" s="47">
        <f t="shared" si="1"/>
        <v>0</v>
      </c>
      <c r="H78" s="48">
        <v>400</v>
      </c>
      <c r="I78" s="35">
        <f t="shared" si="2"/>
        <v>0</v>
      </c>
    </row>
    <row r="79" spans="1:9" x14ac:dyDescent="0.3">
      <c r="A79" s="46" t="s">
        <v>171</v>
      </c>
      <c r="B79" s="46">
        <v>10</v>
      </c>
      <c r="C79" s="46"/>
      <c r="D79" s="47">
        <f t="shared" si="0"/>
        <v>10</v>
      </c>
      <c r="E79" s="46"/>
      <c r="F79" s="46"/>
      <c r="G79" s="47">
        <f t="shared" si="1"/>
        <v>10</v>
      </c>
      <c r="H79" s="48">
        <v>1400</v>
      </c>
      <c r="I79" s="35">
        <f t="shared" si="2"/>
        <v>14000</v>
      </c>
    </row>
    <row r="80" spans="1:9" x14ac:dyDescent="0.3">
      <c r="A80" s="46" t="s">
        <v>172</v>
      </c>
      <c r="B80" s="46"/>
      <c r="C80" s="46"/>
      <c r="D80" s="47">
        <f t="shared" si="0"/>
        <v>0</v>
      </c>
      <c r="E80" s="46"/>
      <c r="F80" s="46"/>
      <c r="G80" s="47">
        <f t="shared" si="1"/>
        <v>0</v>
      </c>
      <c r="H80" s="48">
        <v>1000</v>
      </c>
      <c r="I80" s="35">
        <f t="shared" si="2"/>
        <v>0</v>
      </c>
    </row>
    <row r="81" spans="1:9" x14ac:dyDescent="0.3">
      <c r="A81" s="46"/>
      <c r="B81" s="46"/>
      <c r="C81" s="46"/>
      <c r="D81" s="47"/>
      <c r="E81" s="46"/>
      <c r="F81" s="46"/>
      <c r="G81" s="47"/>
      <c r="H81" s="48"/>
      <c r="I81" s="35"/>
    </row>
    <row r="82" spans="1:9" x14ac:dyDescent="0.3">
      <c r="A82" s="42" t="s">
        <v>173</v>
      </c>
      <c r="B82" s="46"/>
      <c r="C82" s="46"/>
      <c r="D82" s="47">
        <f t="shared" si="0"/>
        <v>0</v>
      </c>
      <c r="E82" s="46"/>
      <c r="F82" s="46"/>
      <c r="G82" s="47">
        <f t="shared" si="1"/>
        <v>0</v>
      </c>
      <c r="H82" s="48"/>
      <c r="I82" s="35">
        <f t="shared" si="2"/>
        <v>0</v>
      </c>
    </row>
    <row r="83" spans="1:9" x14ac:dyDescent="0.3">
      <c r="A83" s="46" t="s">
        <v>174</v>
      </c>
      <c r="B83" s="46"/>
      <c r="C83" s="46"/>
      <c r="D83" s="47">
        <f t="shared" si="0"/>
        <v>0</v>
      </c>
      <c r="E83" s="46"/>
      <c r="F83" s="46"/>
      <c r="G83" s="47">
        <f t="shared" si="1"/>
        <v>0</v>
      </c>
      <c r="H83" s="48">
        <v>9</v>
      </c>
      <c r="I83" s="35">
        <f t="shared" si="2"/>
        <v>0</v>
      </c>
    </row>
    <row r="84" spans="1:9" x14ac:dyDescent="0.3">
      <c r="A84" s="46" t="s">
        <v>175</v>
      </c>
      <c r="B84" s="46">
        <v>2000</v>
      </c>
      <c r="C84" s="46"/>
      <c r="D84" s="47">
        <f t="shared" si="0"/>
        <v>2000</v>
      </c>
      <c r="E84" s="46"/>
      <c r="F84" s="46"/>
      <c r="G84" s="47">
        <f t="shared" si="1"/>
        <v>2000</v>
      </c>
      <c r="H84" s="48">
        <v>10</v>
      </c>
      <c r="I84" s="35">
        <f t="shared" si="2"/>
        <v>20000</v>
      </c>
    </row>
    <row r="85" spans="1:9" x14ac:dyDescent="0.3">
      <c r="A85" s="46" t="s">
        <v>176</v>
      </c>
      <c r="B85" s="46"/>
      <c r="C85" s="46"/>
      <c r="D85" s="47">
        <f t="shared" si="0"/>
        <v>0</v>
      </c>
      <c r="E85" s="46"/>
      <c r="F85" s="46"/>
      <c r="G85" s="47">
        <f t="shared" si="1"/>
        <v>0</v>
      </c>
      <c r="H85" s="48">
        <v>9</v>
      </c>
      <c r="I85" s="35">
        <f t="shared" si="2"/>
        <v>0</v>
      </c>
    </row>
    <row r="86" spans="1:9" x14ac:dyDescent="0.3">
      <c r="A86" s="46" t="s">
        <v>177</v>
      </c>
      <c r="B86" s="46">
        <v>20</v>
      </c>
      <c r="C86" s="46"/>
      <c r="D86" s="47">
        <f t="shared" si="0"/>
        <v>20</v>
      </c>
      <c r="E86" s="46"/>
      <c r="F86" s="46"/>
      <c r="G86" s="47">
        <f t="shared" si="1"/>
        <v>20</v>
      </c>
      <c r="H86" s="48">
        <v>500</v>
      </c>
      <c r="I86" s="35">
        <f t="shared" si="2"/>
        <v>10000</v>
      </c>
    </row>
    <row r="87" spans="1:9" x14ac:dyDescent="0.3">
      <c r="A87" s="46" t="s">
        <v>178</v>
      </c>
      <c r="B87" s="46"/>
      <c r="C87" s="46"/>
      <c r="D87" s="47">
        <f t="shared" si="0"/>
        <v>0</v>
      </c>
      <c r="E87" s="46"/>
      <c r="F87" s="46"/>
      <c r="G87" s="47">
        <f t="shared" si="1"/>
        <v>0</v>
      </c>
      <c r="H87" s="48"/>
      <c r="I87" s="35">
        <f t="shared" si="2"/>
        <v>0</v>
      </c>
    </row>
    <row r="88" spans="1:9" x14ac:dyDescent="0.3">
      <c r="A88" s="46" t="s">
        <v>179</v>
      </c>
      <c r="B88" s="46">
        <v>1500</v>
      </c>
      <c r="C88" s="46"/>
      <c r="D88" s="47">
        <f t="shared" si="0"/>
        <v>1500</v>
      </c>
      <c r="E88" s="46"/>
      <c r="F88" s="46"/>
      <c r="G88" s="47">
        <f t="shared" si="1"/>
        <v>1500</v>
      </c>
      <c r="H88" s="48">
        <v>7.5</v>
      </c>
      <c r="I88" s="35">
        <f t="shared" si="2"/>
        <v>11250</v>
      </c>
    </row>
    <row r="89" spans="1:9" x14ac:dyDescent="0.3">
      <c r="A89" s="46" t="s">
        <v>180</v>
      </c>
      <c r="B89" s="46"/>
      <c r="C89" s="46"/>
      <c r="D89" s="47">
        <f t="shared" si="0"/>
        <v>0</v>
      </c>
      <c r="E89" s="46"/>
      <c r="F89" s="46"/>
      <c r="G89" s="47">
        <f t="shared" si="1"/>
        <v>0</v>
      </c>
      <c r="H89" s="48">
        <v>20</v>
      </c>
      <c r="I89" s="35">
        <f t="shared" si="2"/>
        <v>0</v>
      </c>
    </row>
    <row r="90" spans="1:9" x14ac:dyDescent="0.3">
      <c r="A90" s="46" t="s">
        <v>181</v>
      </c>
      <c r="B90" s="46">
        <v>5</v>
      </c>
      <c r="C90" s="46"/>
      <c r="D90" s="47">
        <f t="shared" si="0"/>
        <v>5</v>
      </c>
      <c r="E90" s="46"/>
      <c r="F90" s="46"/>
      <c r="G90" s="47">
        <f t="shared" si="1"/>
        <v>5</v>
      </c>
      <c r="H90" s="49">
        <v>500</v>
      </c>
      <c r="I90" s="35">
        <f t="shared" si="2"/>
        <v>2500</v>
      </c>
    </row>
    <row r="91" spans="1:9" x14ac:dyDescent="0.3">
      <c r="A91" s="46" t="s">
        <v>182</v>
      </c>
      <c r="B91" s="46">
        <v>10</v>
      </c>
      <c r="C91" s="46"/>
      <c r="D91" s="47">
        <v>50</v>
      </c>
      <c r="E91" s="46"/>
      <c r="F91" s="46"/>
      <c r="G91" s="47">
        <f t="shared" si="1"/>
        <v>50</v>
      </c>
      <c r="H91" s="49">
        <v>200</v>
      </c>
      <c r="I91" s="35">
        <f t="shared" si="2"/>
        <v>10000</v>
      </c>
    </row>
    <row r="92" spans="1:9" x14ac:dyDescent="0.3">
      <c r="A92" s="46" t="s">
        <v>183</v>
      </c>
      <c r="B92" s="46"/>
      <c r="C92" s="46"/>
      <c r="D92" s="47">
        <f t="shared" si="0"/>
        <v>0</v>
      </c>
      <c r="E92" s="46"/>
      <c r="F92" s="46"/>
      <c r="G92" s="47">
        <f t="shared" si="1"/>
        <v>0</v>
      </c>
      <c r="H92" s="50">
        <v>400</v>
      </c>
      <c r="I92" s="35">
        <f t="shared" si="2"/>
        <v>0</v>
      </c>
    </row>
    <row r="93" spans="1:9" x14ac:dyDescent="0.3">
      <c r="A93" s="46" t="s">
        <v>184</v>
      </c>
      <c r="B93" s="46"/>
      <c r="C93" s="46"/>
      <c r="D93" s="47">
        <f t="shared" si="0"/>
        <v>0</v>
      </c>
      <c r="E93" s="46"/>
      <c r="F93" s="46"/>
      <c r="G93" s="47">
        <f t="shared" si="1"/>
        <v>0</v>
      </c>
      <c r="H93" s="50">
        <v>1000</v>
      </c>
      <c r="I93" s="35">
        <f t="shared" si="2"/>
        <v>0</v>
      </c>
    </row>
    <row r="94" spans="1:9" x14ac:dyDescent="0.3">
      <c r="A94" s="46" t="s">
        <v>185</v>
      </c>
      <c r="B94" s="46">
        <v>5</v>
      </c>
      <c r="C94" s="46"/>
      <c r="D94" s="47">
        <f t="shared" si="0"/>
        <v>5</v>
      </c>
      <c r="E94" s="46"/>
      <c r="F94" s="46"/>
      <c r="G94" s="47">
        <f t="shared" si="1"/>
        <v>5</v>
      </c>
      <c r="H94" s="50">
        <v>700</v>
      </c>
      <c r="I94" s="35">
        <f t="shared" si="2"/>
        <v>3500</v>
      </c>
    </row>
    <row r="95" spans="1:9" x14ac:dyDescent="0.3">
      <c r="A95" s="46" t="s">
        <v>186</v>
      </c>
      <c r="B95" s="46">
        <v>2</v>
      </c>
      <c r="C95" s="46"/>
      <c r="D95" s="47">
        <f t="shared" si="0"/>
        <v>2</v>
      </c>
      <c r="E95" s="46"/>
      <c r="F95" s="46"/>
      <c r="G95" s="47">
        <f t="shared" si="1"/>
        <v>2</v>
      </c>
      <c r="H95" s="48">
        <v>350</v>
      </c>
      <c r="I95" s="35">
        <f t="shared" si="2"/>
        <v>700</v>
      </c>
    </row>
    <row r="96" spans="1:9" x14ac:dyDescent="0.3">
      <c r="A96" s="46" t="s">
        <v>187</v>
      </c>
      <c r="B96" s="46">
        <v>10</v>
      </c>
      <c r="C96" s="46"/>
      <c r="D96" s="47">
        <f t="shared" si="0"/>
        <v>10</v>
      </c>
      <c r="E96" s="46"/>
      <c r="F96" s="46"/>
      <c r="G96" s="47">
        <f t="shared" si="1"/>
        <v>10</v>
      </c>
      <c r="H96" s="50">
        <v>150</v>
      </c>
      <c r="I96" s="35">
        <f t="shared" si="2"/>
        <v>1500</v>
      </c>
    </row>
    <row r="97" spans="1:9" x14ac:dyDescent="0.3">
      <c r="A97" s="46" t="s">
        <v>188</v>
      </c>
      <c r="B97" s="46">
        <v>10</v>
      </c>
      <c r="C97" s="46"/>
      <c r="D97" s="47">
        <f t="shared" ref="D97:D173" si="3">B97+C97</f>
        <v>10</v>
      </c>
      <c r="E97" s="46"/>
      <c r="F97" s="46"/>
      <c r="G97" s="47">
        <f t="shared" si="1"/>
        <v>10</v>
      </c>
      <c r="H97" s="48">
        <v>600</v>
      </c>
      <c r="I97" s="35">
        <f t="shared" si="2"/>
        <v>6000</v>
      </c>
    </row>
    <row r="98" spans="1:9" x14ac:dyDescent="0.3">
      <c r="A98" s="46" t="s">
        <v>189</v>
      </c>
      <c r="B98" s="46">
        <v>10</v>
      </c>
      <c r="C98" s="46"/>
      <c r="D98" s="47">
        <f t="shared" si="3"/>
        <v>10</v>
      </c>
      <c r="E98" s="46"/>
      <c r="F98" s="46"/>
      <c r="G98" s="47">
        <f t="shared" si="1"/>
        <v>10</v>
      </c>
      <c r="H98" s="48">
        <v>900</v>
      </c>
      <c r="I98" s="35">
        <f t="shared" si="2"/>
        <v>9000</v>
      </c>
    </row>
    <row r="99" spans="1:9" x14ac:dyDescent="0.3">
      <c r="A99" s="46" t="s">
        <v>190</v>
      </c>
      <c r="B99" s="46"/>
      <c r="C99" s="46"/>
      <c r="D99" s="47">
        <f t="shared" si="3"/>
        <v>0</v>
      </c>
      <c r="E99" s="46"/>
      <c r="F99" s="46"/>
      <c r="G99" s="47">
        <f t="shared" si="1"/>
        <v>0</v>
      </c>
      <c r="H99" s="48">
        <v>380</v>
      </c>
      <c r="I99" s="35">
        <f t="shared" si="2"/>
        <v>0</v>
      </c>
    </row>
    <row r="100" spans="1:9" x14ac:dyDescent="0.3">
      <c r="A100" s="46" t="s">
        <v>191</v>
      </c>
      <c r="B100" s="46"/>
      <c r="C100" s="46"/>
      <c r="D100" s="47">
        <f t="shared" si="3"/>
        <v>0</v>
      </c>
      <c r="E100" s="46"/>
      <c r="F100" s="46"/>
      <c r="G100" s="47">
        <f t="shared" si="1"/>
        <v>0</v>
      </c>
      <c r="H100" s="48">
        <v>1800</v>
      </c>
      <c r="I100" s="35">
        <f t="shared" si="2"/>
        <v>0</v>
      </c>
    </row>
    <row r="101" spans="1:9" x14ac:dyDescent="0.3">
      <c r="A101" s="46" t="s">
        <v>192</v>
      </c>
      <c r="B101" s="46"/>
      <c r="C101" s="46"/>
      <c r="D101" s="47">
        <f t="shared" si="3"/>
        <v>0</v>
      </c>
      <c r="E101" s="46"/>
      <c r="F101" s="46"/>
      <c r="G101" s="47">
        <f t="shared" si="1"/>
        <v>0</v>
      </c>
      <c r="H101" s="48">
        <v>550</v>
      </c>
      <c r="I101" s="35">
        <f t="shared" si="2"/>
        <v>0</v>
      </c>
    </row>
    <row r="102" spans="1:9" x14ac:dyDescent="0.3">
      <c r="A102" s="46" t="s">
        <v>193</v>
      </c>
      <c r="B102" s="46"/>
      <c r="C102" s="46"/>
      <c r="D102" s="47">
        <f t="shared" si="3"/>
        <v>0</v>
      </c>
      <c r="E102" s="46"/>
      <c r="F102" s="46"/>
      <c r="G102" s="47">
        <f t="shared" si="1"/>
        <v>0</v>
      </c>
      <c r="H102" s="48">
        <v>500</v>
      </c>
      <c r="I102" s="35">
        <f t="shared" si="2"/>
        <v>0</v>
      </c>
    </row>
    <row r="103" spans="1:9" x14ac:dyDescent="0.3">
      <c r="A103" s="46" t="s">
        <v>194</v>
      </c>
      <c r="B103" s="46">
        <v>23</v>
      </c>
      <c r="C103" s="46"/>
      <c r="D103" s="47">
        <f t="shared" si="3"/>
        <v>23</v>
      </c>
      <c r="E103" s="46"/>
      <c r="F103" s="46"/>
      <c r="G103" s="47">
        <f t="shared" si="1"/>
        <v>23</v>
      </c>
      <c r="H103" s="48">
        <v>750</v>
      </c>
      <c r="I103" s="35">
        <f t="shared" si="2"/>
        <v>17250</v>
      </c>
    </row>
    <row r="104" spans="1:9" x14ac:dyDescent="0.3">
      <c r="A104" s="46" t="s">
        <v>195</v>
      </c>
      <c r="B104" s="46">
        <v>5</v>
      </c>
      <c r="C104" s="46"/>
      <c r="D104" s="47">
        <f t="shared" si="3"/>
        <v>5</v>
      </c>
      <c r="E104" s="46"/>
      <c r="F104" s="46"/>
      <c r="G104" s="47">
        <f t="shared" si="1"/>
        <v>5</v>
      </c>
      <c r="H104" s="48">
        <v>160</v>
      </c>
      <c r="I104" s="35">
        <f t="shared" si="2"/>
        <v>800</v>
      </c>
    </row>
    <row r="105" spans="1:9" x14ac:dyDescent="0.3">
      <c r="A105" s="46" t="s">
        <v>196</v>
      </c>
      <c r="B105" s="46"/>
      <c r="C105" s="46"/>
      <c r="D105" s="47">
        <f t="shared" si="3"/>
        <v>0</v>
      </c>
      <c r="E105" s="46"/>
      <c r="F105" s="46"/>
      <c r="G105" s="47">
        <f t="shared" si="1"/>
        <v>0</v>
      </c>
      <c r="H105" s="48">
        <v>335</v>
      </c>
      <c r="I105" s="35">
        <f t="shared" si="2"/>
        <v>0</v>
      </c>
    </row>
    <row r="106" spans="1:9" x14ac:dyDescent="0.3">
      <c r="A106" s="46" t="s">
        <v>197</v>
      </c>
      <c r="B106" s="46"/>
      <c r="C106" s="46"/>
      <c r="D106" s="47">
        <f t="shared" si="3"/>
        <v>0</v>
      </c>
      <c r="E106" s="46"/>
      <c r="F106" s="46"/>
      <c r="G106" s="47">
        <f t="shared" si="1"/>
        <v>0</v>
      </c>
      <c r="H106" s="48">
        <v>150</v>
      </c>
      <c r="I106" s="35">
        <f t="shared" si="2"/>
        <v>0</v>
      </c>
    </row>
    <row r="107" spans="1:9" x14ac:dyDescent="0.3">
      <c r="A107" s="46" t="s">
        <v>198</v>
      </c>
      <c r="B107" s="46"/>
      <c r="C107" s="46"/>
      <c r="D107" s="47">
        <f t="shared" si="3"/>
        <v>0</v>
      </c>
      <c r="E107" s="46"/>
      <c r="F107" s="46"/>
      <c r="G107" s="47">
        <f t="shared" si="1"/>
        <v>0</v>
      </c>
      <c r="H107" s="48">
        <v>270</v>
      </c>
      <c r="I107" s="35">
        <f t="shared" si="2"/>
        <v>0</v>
      </c>
    </row>
    <row r="108" spans="1:9" x14ac:dyDescent="0.3">
      <c r="A108" s="46" t="s">
        <v>199</v>
      </c>
      <c r="B108" s="46"/>
      <c r="C108" s="46"/>
      <c r="D108" s="47">
        <f t="shared" si="3"/>
        <v>0</v>
      </c>
      <c r="E108" s="46"/>
      <c r="F108" s="46"/>
      <c r="G108" s="47">
        <f t="shared" si="1"/>
        <v>0</v>
      </c>
      <c r="H108" s="48">
        <v>550</v>
      </c>
      <c r="I108" s="35">
        <f t="shared" si="2"/>
        <v>0</v>
      </c>
    </row>
    <row r="109" spans="1:9" x14ac:dyDescent="0.3">
      <c r="A109" s="46" t="s">
        <v>200</v>
      </c>
      <c r="B109" s="46"/>
      <c r="C109" s="46"/>
      <c r="D109" s="47">
        <f t="shared" si="3"/>
        <v>0</v>
      </c>
      <c r="E109" s="46"/>
      <c r="F109" s="46"/>
      <c r="G109" s="47">
        <f t="shared" si="1"/>
        <v>0</v>
      </c>
      <c r="H109" s="48">
        <v>1700</v>
      </c>
      <c r="I109" s="35">
        <f t="shared" si="2"/>
        <v>0</v>
      </c>
    </row>
    <row r="110" spans="1:9" x14ac:dyDescent="0.3">
      <c r="A110" s="46" t="s">
        <v>201</v>
      </c>
      <c r="B110" s="46"/>
      <c r="C110" s="46"/>
      <c r="D110" s="47">
        <f t="shared" si="3"/>
        <v>0</v>
      </c>
      <c r="E110" s="46"/>
      <c r="F110" s="46"/>
      <c r="G110" s="47">
        <f t="shared" si="1"/>
        <v>0</v>
      </c>
      <c r="H110" s="48">
        <v>550</v>
      </c>
      <c r="I110" s="35">
        <f t="shared" si="2"/>
        <v>0</v>
      </c>
    </row>
    <row r="111" spans="1:9" x14ac:dyDescent="0.3">
      <c r="A111" s="46"/>
      <c r="B111" s="46"/>
      <c r="C111" s="46"/>
      <c r="D111" s="47"/>
      <c r="E111" s="46"/>
      <c r="F111" s="46"/>
      <c r="G111" s="47"/>
      <c r="H111" s="48"/>
      <c r="I111" s="35"/>
    </row>
    <row r="112" spans="1:9" x14ac:dyDescent="0.3">
      <c r="A112" s="42" t="s">
        <v>202</v>
      </c>
      <c r="B112" s="46"/>
      <c r="C112" s="46"/>
      <c r="D112" s="47">
        <f t="shared" si="3"/>
        <v>0</v>
      </c>
      <c r="E112" s="46"/>
      <c r="F112" s="46"/>
      <c r="G112" s="47">
        <f t="shared" si="1"/>
        <v>0</v>
      </c>
      <c r="H112" s="48"/>
      <c r="I112" s="35">
        <f t="shared" si="2"/>
        <v>0</v>
      </c>
    </row>
    <row r="113" spans="1:9" x14ac:dyDescent="0.3">
      <c r="A113" s="46" t="s">
        <v>203</v>
      </c>
      <c r="B113" s="46">
        <v>1000</v>
      </c>
      <c r="C113" s="46"/>
      <c r="D113" s="47">
        <f t="shared" si="3"/>
        <v>1000</v>
      </c>
      <c r="E113" s="46"/>
      <c r="F113" s="46"/>
      <c r="G113" s="47">
        <f t="shared" si="1"/>
        <v>1000</v>
      </c>
      <c r="H113" s="48">
        <v>10</v>
      </c>
      <c r="I113" s="35">
        <f t="shared" si="2"/>
        <v>10000</v>
      </c>
    </row>
    <row r="114" spans="1:9" x14ac:dyDescent="0.3">
      <c r="A114" s="46" t="s">
        <v>204</v>
      </c>
      <c r="B114" s="46"/>
      <c r="C114" s="46"/>
      <c r="D114" s="47">
        <f t="shared" si="3"/>
        <v>0</v>
      </c>
      <c r="E114" s="46"/>
      <c r="F114" s="46"/>
      <c r="G114" s="47">
        <f t="shared" si="1"/>
        <v>0</v>
      </c>
      <c r="H114" s="48">
        <v>10</v>
      </c>
      <c r="I114" s="35">
        <f t="shared" si="2"/>
        <v>0</v>
      </c>
    </row>
    <row r="115" spans="1:9" x14ac:dyDescent="0.3">
      <c r="A115" s="46" t="s">
        <v>205</v>
      </c>
      <c r="B115" s="46">
        <v>20</v>
      </c>
      <c r="C115" s="46"/>
      <c r="D115" s="47">
        <f t="shared" si="3"/>
        <v>20</v>
      </c>
      <c r="E115" s="46"/>
      <c r="F115" s="46"/>
      <c r="G115" s="47">
        <f t="shared" si="1"/>
        <v>20</v>
      </c>
      <c r="H115" s="49">
        <v>360</v>
      </c>
      <c r="I115" s="35">
        <f t="shared" si="2"/>
        <v>7200</v>
      </c>
    </row>
    <row r="116" spans="1:9" x14ac:dyDescent="0.3">
      <c r="A116" s="46" t="s">
        <v>206</v>
      </c>
      <c r="B116" s="46"/>
      <c r="C116" s="46"/>
      <c r="D116" s="47">
        <f t="shared" si="3"/>
        <v>0</v>
      </c>
      <c r="E116" s="46"/>
      <c r="F116" s="46"/>
      <c r="G116" s="47">
        <f t="shared" si="1"/>
        <v>0</v>
      </c>
      <c r="H116" s="48">
        <v>600</v>
      </c>
      <c r="I116" s="35">
        <f t="shared" si="2"/>
        <v>0</v>
      </c>
    </row>
    <row r="117" spans="1:9" x14ac:dyDescent="0.3">
      <c r="A117" s="46" t="s">
        <v>207</v>
      </c>
      <c r="B117" s="46">
        <v>1</v>
      </c>
      <c r="C117" s="46"/>
      <c r="D117" s="47">
        <f t="shared" si="3"/>
        <v>1</v>
      </c>
      <c r="E117" s="46"/>
      <c r="F117" s="46"/>
      <c r="G117" s="47">
        <f t="shared" si="1"/>
        <v>1</v>
      </c>
      <c r="H117" s="48">
        <v>500</v>
      </c>
      <c r="I117" s="35">
        <f t="shared" si="2"/>
        <v>500</v>
      </c>
    </row>
    <row r="118" spans="1:9" x14ac:dyDescent="0.3">
      <c r="A118" s="46" t="s">
        <v>208</v>
      </c>
      <c r="B118" s="46">
        <v>8</v>
      </c>
      <c r="C118" s="46"/>
      <c r="D118" s="47">
        <f t="shared" si="3"/>
        <v>8</v>
      </c>
      <c r="E118" s="46"/>
      <c r="F118" s="46"/>
      <c r="G118" s="47">
        <f t="shared" si="1"/>
        <v>8</v>
      </c>
      <c r="H118" s="48">
        <v>650</v>
      </c>
      <c r="I118" s="35">
        <f t="shared" si="2"/>
        <v>5200</v>
      </c>
    </row>
    <row r="119" spans="1:9" x14ac:dyDescent="0.3">
      <c r="A119" s="46" t="s">
        <v>209</v>
      </c>
      <c r="B119" s="46"/>
      <c r="C119" s="46"/>
      <c r="D119" s="47">
        <f t="shared" si="3"/>
        <v>0</v>
      </c>
      <c r="E119" s="46"/>
      <c r="F119" s="46"/>
      <c r="G119" s="47">
        <f t="shared" si="1"/>
        <v>0</v>
      </c>
      <c r="H119" s="48">
        <v>1600</v>
      </c>
      <c r="I119" s="35">
        <f t="shared" si="2"/>
        <v>0</v>
      </c>
    </row>
    <row r="120" spans="1:9" x14ac:dyDescent="0.3">
      <c r="A120" s="46" t="s">
        <v>210</v>
      </c>
      <c r="B120" s="46"/>
      <c r="C120" s="46"/>
      <c r="D120" s="47">
        <f t="shared" si="3"/>
        <v>0</v>
      </c>
      <c r="E120" s="46"/>
      <c r="F120" s="46"/>
      <c r="G120" s="47">
        <f t="shared" si="1"/>
        <v>0</v>
      </c>
      <c r="H120" s="48">
        <v>1200</v>
      </c>
      <c r="I120" s="35">
        <f t="shared" si="2"/>
        <v>0</v>
      </c>
    </row>
    <row r="121" spans="1:9" x14ac:dyDescent="0.3">
      <c r="A121" s="46"/>
      <c r="B121" s="46"/>
      <c r="C121" s="46"/>
      <c r="D121" s="47">
        <f t="shared" si="3"/>
        <v>0</v>
      </c>
      <c r="E121" s="46"/>
      <c r="F121" s="46"/>
      <c r="G121" s="47">
        <f t="shared" si="1"/>
        <v>0</v>
      </c>
      <c r="H121" s="48"/>
      <c r="I121" s="35">
        <f t="shared" si="2"/>
        <v>0</v>
      </c>
    </row>
    <row r="122" spans="1:9" x14ac:dyDescent="0.3">
      <c r="A122" s="42" t="s">
        <v>211</v>
      </c>
      <c r="B122" s="46"/>
      <c r="C122" s="46"/>
      <c r="D122" s="47">
        <f t="shared" si="3"/>
        <v>0</v>
      </c>
      <c r="E122" s="46"/>
      <c r="F122" s="46"/>
      <c r="G122" s="47">
        <f>D122-E122-F122</f>
        <v>0</v>
      </c>
      <c r="H122" s="48"/>
      <c r="I122" s="35">
        <f t="shared" si="2"/>
        <v>0</v>
      </c>
    </row>
    <row r="123" spans="1:9" x14ac:dyDescent="0.3">
      <c r="A123" s="46" t="s">
        <v>212</v>
      </c>
      <c r="B123" s="46"/>
      <c r="C123" s="46"/>
      <c r="D123" s="47">
        <f t="shared" si="3"/>
        <v>0</v>
      </c>
      <c r="E123" s="46"/>
      <c r="F123" s="46"/>
      <c r="G123" s="47">
        <f>D123-E123-F123</f>
        <v>0</v>
      </c>
      <c r="H123" s="48">
        <v>13</v>
      </c>
      <c r="I123" s="35">
        <f t="shared" si="2"/>
        <v>0</v>
      </c>
    </row>
    <row r="124" spans="1:9" x14ac:dyDescent="0.3">
      <c r="A124" s="46" t="s">
        <v>213</v>
      </c>
      <c r="B124" s="46">
        <v>34</v>
      </c>
      <c r="C124" s="46"/>
      <c r="D124" s="47">
        <f t="shared" si="3"/>
        <v>34</v>
      </c>
      <c r="E124" s="46"/>
      <c r="F124" s="46"/>
      <c r="G124" s="47">
        <f t="shared" si="1"/>
        <v>34</v>
      </c>
      <c r="H124" s="48">
        <v>500</v>
      </c>
      <c r="I124" s="35">
        <f t="shared" si="2"/>
        <v>17000</v>
      </c>
    </row>
    <row r="125" spans="1:9" x14ac:dyDescent="0.3">
      <c r="A125" s="46" t="s">
        <v>214</v>
      </c>
      <c r="B125" s="46">
        <v>1000</v>
      </c>
      <c r="C125" s="46"/>
      <c r="D125" s="47">
        <f t="shared" si="3"/>
        <v>1000</v>
      </c>
      <c r="E125" s="46"/>
      <c r="F125" s="46"/>
      <c r="G125" s="47">
        <f t="shared" si="1"/>
        <v>1000</v>
      </c>
      <c r="H125" s="48">
        <v>8</v>
      </c>
      <c r="I125" s="35">
        <f t="shared" si="2"/>
        <v>8000</v>
      </c>
    </row>
    <row r="126" spans="1:9" x14ac:dyDescent="0.3">
      <c r="A126" s="46" t="s">
        <v>215</v>
      </c>
      <c r="B126" s="46">
        <v>1000</v>
      </c>
      <c r="C126" s="46"/>
      <c r="D126" s="47">
        <f t="shared" si="3"/>
        <v>1000</v>
      </c>
      <c r="E126" s="46"/>
      <c r="F126" s="46"/>
      <c r="G126" s="47">
        <f t="shared" si="1"/>
        <v>1000</v>
      </c>
      <c r="H126" s="48">
        <v>8</v>
      </c>
      <c r="I126" s="35">
        <f t="shared" si="2"/>
        <v>8000</v>
      </c>
    </row>
    <row r="127" spans="1:9" x14ac:dyDescent="0.3">
      <c r="A127" s="46" t="s">
        <v>216</v>
      </c>
      <c r="B127" s="46"/>
      <c r="C127" s="46"/>
      <c r="D127" s="47">
        <f t="shared" si="3"/>
        <v>0</v>
      </c>
      <c r="E127" s="46"/>
      <c r="F127" s="46"/>
      <c r="G127" s="47">
        <f t="shared" si="1"/>
        <v>0</v>
      </c>
      <c r="H127" s="48">
        <v>800</v>
      </c>
      <c r="I127" s="35">
        <f t="shared" si="2"/>
        <v>0</v>
      </c>
    </row>
    <row r="128" spans="1:9" x14ac:dyDescent="0.3">
      <c r="A128" s="46" t="s">
        <v>217</v>
      </c>
      <c r="B128" s="46">
        <v>27</v>
      </c>
      <c r="C128" s="46"/>
      <c r="D128" s="47">
        <f t="shared" si="3"/>
        <v>27</v>
      </c>
      <c r="E128" s="46"/>
      <c r="F128" s="46"/>
      <c r="G128" s="47">
        <f t="shared" si="1"/>
        <v>27</v>
      </c>
      <c r="H128" s="48">
        <v>2000</v>
      </c>
      <c r="I128" s="35">
        <f t="shared" si="2"/>
        <v>54000</v>
      </c>
    </row>
    <row r="129" spans="1:9" x14ac:dyDescent="0.3">
      <c r="A129" s="46" t="s">
        <v>218</v>
      </c>
      <c r="B129" s="46"/>
      <c r="C129" s="46"/>
      <c r="D129" s="47">
        <f t="shared" si="3"/>
        <v>0</v>
      </c>
      <c r="E129" s="46"/>
      <c r="F129" s="46"/>
      <c r="G129" s="47">
        <f t="shared" si="1"/>
        <v>0</v>
      </c>
      <c r="H129" s="48"/>
      <c r="I129" s="35">
        <f t="shared" si="2"/>
        <v>0</v>
      </c>
    </row>
    <row r="130" spans="1:9" x14ac:dyDescent="0.3">
      <c r="A130" s="46" t="s">
        <v>219</v>
      </c>
      <c r="B130" s="46"/>
      <c r="C130" s="46"/>
      <c r="D130" s="47">
        <f t="shared" si="3"/>
        <v>0</v>
      </c>
      <c r="E130" s="46"/>
      <c r="F130" s="46"/>
      <c r="G130" s="47">
        <f t="shared" si="1"/>
        <v>0</v>
      </c>
      <c r="H130" s="48">
        <v>50</v>
      </c>
      <c r="I130" s="35">
        <f t="shared" si="2"/>
        <v>0</v>
      </c>
    </row>
    <row r="131" spans="1:9" x14ac:dyDescent="0.3">
      <c r="A131" s="46" t="s">
        <v>220</v>
      </c>
      <c r="B131" s="46"/>
      <c r="C131" s="46"/>
      <c r="D131" s="47">
        <f t="shared" si="3"/>
        <v>0</v>
      </c>
      <c r="E131" s="46"/>
      <c r="F131" s="46"/>
      <c r="G131" s="47">
        <f t="shared" si="1"/>
        <v>0</v>
      </c>
      <c r="H131" s="48">
        <v>2200</v>
      </c>
      <c r="I131" s="35">
        <f t="shared" si="2"/>
        <v>0</v>
      </c>
    </row>
    <row r="132" spans="1:9" x14ac:dyDescent="0.3">
      <c r="A132" s="46" t="s">
        <v>221</v>
      </c>
      <c r="B132" s="46">
        <v>21</v>
      </c>
      <c r="C132" s="46"/>
      <c r="D132" s="47">
        <f t="shared" si="3"/>
        <v>21</v>
      </c>
      <c r="E132" s="46"/>
      <c r="F132" s="46"/>
      <c r="G132" s="47">
        <f t="shared" ref="G132:G223" si="4">D132-E132-F132</f>
        <v>21</v>
      </c>
      <c r="H132" s="48">
        <v>600</v>
      </c>
      <c r="I132" s="35">
        <f t="shared" si="2"/>
        <v>12600</v>
      </c>
    </row>
    <row r="133" spans="1:9" x14ac:dyDescent="0.3">
      <c r="A133" s="46" t="s">
        <v>222</v>
      </c>
      <c r="B133" s="46">
        <v>16</v>
      </c>
      <c r="C133" s="46"/>
      <c r="D133" s="47">
        <f t="shared" si="3"/>
        <v>16</v>
      </c>
      <c r="E133" s="46"/>
      <c r="F133" s="46"/>
      <c r="G133" s="47">
        <f t="shared" si="4"/>
        <v>16</v>
      </c>
      <c r="H133" s="49">
        <v>750</v>
      </c>
      <c r="I133" s="35">
        <f t="shared" si="2"/>
        <v>12000</v>
      </c>
    </row>
    <row r="134" spans="1:9" x14ac:dyDescent="0.3">
      <c r="A134" s="46" t="s">
        <v>223</v>
      </c>
      <c r="B134" s="46"/>
      <c r="C134" s="46"/>
      <c r="D134" s="47">
        <f t="shared" si="3"/>
        <v>0</v>
      </c>
      <c r="E134" s="46"/>
      <c r="F134" s="46"/>
      <c r="G134" s="47">
        <f t="shared" si="4"/>
        <v>0</v>
      </c>
      <c r="H134" s="48">
        <v>500</v>
      </c>
      <c r="I134" s="35">
        <f t="shared" ref="I134:I197" si="5">G134*H134</f>
        <v>0</v>
      </c>
    </row>
    <row r="135" spans="1:9" x14ac:dyDescent="0.3">
      <c r="A135" s="46" t="s">
        <v>224</v>
      </c>
      <c r="B135" s="46">
        <v>17</v>
      </c>
      <c r="C135" s="46"/>
      <c r="D135" s="47">
        <f t="shared" si="3"/>
        <v>17</v>
      </c>
      <c r="E135" s="46"/>
      <c r="F135" s="46"/>
      <c r="G135" s="47">
        <f t="shared" si="4"/>
        <v>17</v>
      </c>
      <c r="H135" s="48">
        <v>900</v>
      </c>
      <c r="I135" s="35">
        <f t="shared" si="5"/>
        <v>15300</v>
      </c>
    </row>
    <row r="136" spans="1:9" x14ac:dyDescent="0.3">
      <c r="A136" s="46" t="s">
        <v>225</v>
      </c>
      <c r="B136" s="46"/>
      <c r="C136" s="46"/>
      <c r="D136" s="47">
        <f t="shared" si="3"/>
        <v>0</v>
      </c>
      <c r="E136" s="46"/>
      <c r="F136" s="46"/>
      <c r="G136" s="47">
        <f t="shared" si="4"/>
        <v>0</v>
      </c>
      <c r="H136" s="49">
        <v>150</v>
      </c>
      <c r="I136" s="35">
        <f t="shared" si="5"/>
        <v>0</v>
      </c>
    </row>
    <row r="137" spans="1:9" x14ac:dyDescent="0.3">
      <c r="A137" s="46" t="s">
        <v>226</v>
      </c>
      <c r="B137" s="46">
        <v>28</v>
      </c>
      <c r="C137" s="46"/>
      <c r="D137" s="47">
        <f t="shared" si="3"/>
        <v>28</v>
      </c>
      <c r="E137" s="46"/>
      <c r="F137" s="46"/>
      <c r="G137" s="47">
        <f t="shared" si="4"/>
        <v>28</v>
      </c>
      <c r="H137" s="49">
        <v>650</v>
      </c>
      <c r="I137" s="35">
        <f t="shared" si="5"/>
        <v>18200</v>
      </c>
    </row>
    <row r="138" spans="1:9" x14ac:dyDescent="0.3">
      <c r="A138" s="46" t="s">
        <v>227</v>
      </c>
      <c r="B138" s="46">
        <v>4</v>
      </c>
      <c r="C138" s="46"/>
      <c r="D138" s="47">
        <f t="shared" si="3"/>
        <v>4</v>
      </c>
      <c r="E138" s="46"/>
      <c r="F138" s="46"/>
      <c r="G138" s="47">
        <f t="shared" si="4"/>
        <v>4</v>
      </c>
      <c r="H138" s="49">
        <v>800</v>
      </c>
      <c r="I138" s="35">
        <f t="shared" si="5"/>
        <v>3200</v>
      </c>
    </row>
    <row r="139" spans="1:9" x14ac:dyDescent="0.3">
      <c r="A139" s="46" t="s">
        <v>141</v>
      </c>
      <c r="B139" s="46"/>
      <c r="C139" s="46"/>
      <c r="D139" s="47">
        <f t="shared" si="3"/>
        <v>0</v>
      </c>
      <c r="E139" s="46"/>
      <c r="F139" s="46"/>
      <c r="G139" s="47">
        <f t="shared" si="4"/>
        <v>0</v>
      </c>
      <c r="H139" s="49">
        <v>400</v>
      </c>
      <c r="I139" s="35">
        <f t="shared" si="5"/>
        <v>0</v>
      </c>
    </row>
    <row r="140" spans="1:9" x14ac:dyDescent="0.3">
      <c r="A140" s="46" t="s">
        <v>228</v>
      </c>
      <c r="B140" s="46">
        <v>10</v>
      </c>
      <c r="C140" s="46"/>
      <c r="D140" s="47">
        <f t="shared" si="3"/>
        <v>10</v>
      </c>
      <c r="E140" s="46"/>
      <c r="F140" s="46"/>
      <c r="G140" s="47">
        <f t="shared" si="4"/>
        <v>10</v>
      </c>
      <c r="H140" s="48">
        <v>1900</v>
      </c>
      <c r="I140" s="35">
        <f t="shared" si="5"/>
        <v>19000</v>
      </c>
    </row>
    <row r="141" spans="1:9" x14ac:dyDescent="0.3">
      <c r="A141" s="46" t="s">
        <v>229</v>
      </c>
      <c r="B141" s="46"/>
      <c r="C141" s="46"/>
      <c r="D141" s="47">
        <f t="shared" si="3"/>
        <v>0</v>
      </c>
      <c r="E141" s="46"/>
      <c r="F141" s="46"/>
      <c r="G141" s="47">
        <f t="shared" si="4"/>
        <v>0</v>
      </c>
      <c r="H141" s="48">
        <v>1400</v>
      </c>
      <c r="I141" s="35">
        <f t="shared" si="5"/>
        <v>0</v>
      </c>
    </row>
    <row r="142" spans="1:9" x14ac:dyDescent="0.3">
      <c r="A142" s="46" t="s">
        <v>230</v>
      </c>
      <c r="B142" s="46"/>
      <c r="C142" s="46"/>
      <c r="D142" s="47">
        <f t="shared" si="3"/>
        <v>0</v>
      </c>
      <c r="E142" s="46"/>
      <c r="F142" s="46"/>
      <c r="G142" s="47">
        <f t="shared" si="4"/>
        <v>0</v>
      </c>
      <c r="H142" s="48"/>
      <c r="I142" s="35">
        <f t="shared" si="5"/>
        <v>0</v>
      </c>
    </row>
    <row r="143" spans="1:9" x14ac:dyDescent="0.3">
      <c r="A143" s="46" t="s">
        <v>231</v>
      </c>
      <c r="B143" s="46"/>
      <c r="C143" s="46"/>
      <c r="D143" s="47">
        <f t="shared" si="3"/>
        <v>0</v>
      </c>
      <c r="E143" s="46"/>
      <c r="F143" s="46"/>
      <c r="G143" s="47">
        <f t="shared" si="4"/>
        <v>0</v>
      </c>
      <c r="H143" s="48">
        <v>2000</v>
      </c>
      <c r="I143" s="35">
        <f t="shared" si="5"/>
        <v>0</v>
      </c>
    </row>
    <row r="144" spans="1:9" x14ac:dyDescent="0.3">
      <c r="A144" s="46" t="s">
        <v>232</v>
      </c>
      <c r="B144" s="46">
        <v>8</v>
      </c>
      <c r="C144" s="46"/>
      <c r="D144" s="47">
        <f t="shared" si="3"/>
        <v>8</v>
      </c>
      <c r="E144" s="46"/>
      <c r="F144" s="46"/>
      <c r="G144" s="47">
        <f t="shared" si="4"/>
        <v>8</v>
      </c>
      <c r="H144" s="48">
        <v>300</v>
      </c>
      <c r="I144" s="35">
        <f t="shared" si="5"/>
        <v>2400</v>
      </c>
    </row>
    <row r="145" spans="1:9" x14ac:dyDescent="0.3">
      <c r="A145" s="46" t="s">
        <v>233</v>
      </c>
      <c r="B145" s="46"/>
      <c r="C145" s="46"/>
      <c r="D145" s="47">
        <f t="shared" si="3"/>
        <v>0</v>
      </c>
      <c r="E145" s="46"/>
      <c r="F145" s="46"/>
      <c r="G145" s="47">
        <f t="shared" si="4"/>
        <v>0</v>
      </c>
      <c r="H145" s="48"/>
      <c r="I145" s="35">
        <f t="shared" si="5"/>
        <v>0</v>
      </c>
    </row>
    <row r="146" spans="1:9" x14ac:dyDescent="0.3">
      <c r="A146" s="46" t="s">
        <v>234</v>
      </c>
      <c r="B146" s="46"/>
      <c r="C146" s="46"/>
      <c r="D146" s="47">
        <f t="shared" si="3"/>
        <v>0</v>
      </c>
      <c r="E146" s="46"/>
      <c r="F146" s="46"/>
      <c r="G146" s="47">
        <f t="shared" si="4"/>
        <v>0</v>
      </c>
      <c r="H146" s="48">
        <v>16</v>
      </c>
      <c r="I146" s="35">
        <f t="shared" si="5"/>
        <v>0</v>
      </c>
    </row>
    <row r="147" spans="1:9" x14ac:dyDescent="0.3">
      <c r="A147" s="46" t="s">
        <v>235</v>
      </c>
      <c r="B147" s="46"/>
      <c r="C147" s="46"/>
      <c r="D147" s="47">
        <f t="shared" si="3"/>
        <v>0</v>
      </c>
      <c r="E147" s="46"/>
      <c r="F147" s="46"/>
      <c r="G147" s="47">
        <f t="shared" si="4"/>
        <v>0</v>
      </c>
      <c r="H147" s="48">
        <v>1000</v>
      </c>
      <c r="I147" s="35">
        <f t="shared" si="5"/>
        <v>0</v>
      </c>
    </row>
    <row r="148" spans="1:9" x14ac:dyDescent="0.3">
      <c r="A148" s="46" t="s">
        <v>236</v>
      </c>
      <c r="B148" s="46"/>
      <c r="C148" s="46"/>
      <c r="D148" s="47">
        <f t="shared" si="3"/>
        <v>0</v>
      </c>
      <c r="E148" s="46"/>
      <c r="F148" s="46"/>
      <c r="G148" s="47">
        <f t="shared" si="4"/>
        <v>0</v>
      </c>
      <c r="H148" s="48">
        <v>500</v>
      </c>
      <c r="I148" s="35">
        <f t="shared" si="5"/>
        <v>0</v>
      </c>
    </row>
    <row r="149" spans="1:9" x14ac:dyDescent="0.3">
      <c r="A149" s="46" t="s">
        <v>237</v>
      </c>
      <c r="B149" s="46">
        <v>14</v>
      </c>
      <c r="C149" s="46"/>
      <c r="D149" s="47">
        <f t="shared" si="3"/>
        <v>14</v>
      </c>
      <c r="E149" s="46"/>
      <c r="F149" s="46"/>
      <c r="G149" s="47">
        <f t="shared" si="4"/>
        <v>14</v>
      </c>
      <c r="H149" s="48">
        <v>400</v>
      </c>
      <c r="I149" s="35">
        <f t="shared" si="5"/>
        <v>5600</v>
      </c>
    </row>
    <row r="150" spans="1:9" x14ac:dyDescent="0.3">
      <c r="A150" s="46" t="s">
        <v>238</v>
      </c>
      <c r="B150" s="46"/>
      <c r="C150" s="46"/>
      <c r="D150" s="47">
        <f t="shared" si="3"/>
        <v>0</v>
      </c>
      <c r="E150" s="46"/>
      <c r="F150" s="46"/>
      <c r="G150" s="47">
        <f t="shared" si="4"/>
        <v>0</v>
      </c>
      <c r="H150" s="48"/>
      <c r="I150" s="35">
        <f t="shared" si="5"/>
        <v>0</v>
      </c>
    </row>
    <row r="151" spans="1:9" x14ac:dyDescent="0.3">
      <c r="A151" s="46" t="s">
        <v>239</v>
      </c>
      <c r="B151" s="46"/>
      <c r="C151" s="46"/>
      <c r="D151" s="47">
        <f t="shared" si="3"/>
        <v>0</v>
      </c>
      <c r="E151" s="46"/>
      <c r="F151" s="46"/>
      <c r="G151" s="47">
        <f t="shared" si="4"/>
        <v>0</v>
      </c>
      <c r="H151" s="48">
        <v>750</v>
      </c>
      <c r="I151" s="35">
        <f t="shared" si="5"/>
        <v>0</v>
      </c>
    </row>
    <row r="152" spans="1:9" x14ac:dyDescent="0.3">
      <c r="A152" s="46" t="s">
        <v>240</v>
      </c>
      <c r="B152" s="46"/>
      <c r="C152" s="46"/>
      <c r="D152" s="47">
        <f t="shared" si="3"/>
        <v>0</v>
      </c>
      <c r="E152" s="46"/>
      <c r="F152" s="46"/>
      <c r="G152" s="47">
        <f t="shared" si="4"/>
        <v>0</v>
      </c>
      <c r="H152" s="48">
        <v>360</v>
      </c>
      <c r="I152" s="35">
        <f t="shared" si="5"/>
        <v>0</v>
      </c>
    </row>
    <row r="153" spans="1:9" x14ac:dyDescent="0.3">
      <c r="A153" s="46" t="s">
        <v>241</v>
      </c>
      <c r="B153" s="46"/>
      <c r="C153" s="46"/>
      <c r="D153" s="47">
        <f t="shared" si="3"/>
        <v>0</v>
      </c>
      <c r="E153" s="46"/>
      <c r="F153" s="46"/>
      <c r="G153" s="47">
        <f t="shared" si="4"/>
        <v>0</v>
      </c>
      <c r="H153" s="48">
        <v>1000</v>
      </c>
      <c r="I153" s="35">
        <f t="shared" si="5"/>
        <v>0</v>
      </c>
    </row>
    <row r="154" spans="1:9" x14ac:dyDescent="0.3">
      <c r="A154" s="46" t="s">
        <v>242</v>
      </c>
      <c r="B154" s="46">
        <v>200</v>
      </c>
      <c r="C154" s="46"/>
      <c r="D154" s="47">
        <f t="shared" si="3"/>
        <v>200</v>
      </c>
      <c r="E154" s="46"/>
      <c r="F154" s="46"/>
      <c r="G154" s="47">
        <v>150</v>
      </c>
      <c r="H154" s="48">
        <v>10</v>
      </c>
      <c r="I154" s="35">
        <f t="shared" si="5"/>
        <v>1500</v>
      </c>
    </row>
    <row r="155" spans="1:9" x14ac:dyDescent="0.3">
      <c r="A155" s="46" t="s">
        <v>243</v>
      </c>
      <c r="B155" s="46"/>
      <c r="C155" s="46"/>
      <c r="D155" s="47">
        <f t="shared" si="3"/>
        <v>0</v>
      </c>
      <c r="E155" s="46"/>
      <c r="F155" s="46"/>
      <c r="G155" s="47">
        <f t="shared" si="4"/>
        <v>0</v>
      </c>
      <c r="H155" s="48">
        <v>1500</v>
      </c>
      <c r="I155" s="35">
        <f t="shared" si="5"/>
        <v>0</v>
      </c>
    </row>
    <row r="156" spans="1:9" x14ac:dyDescent="0.3">
      <c r="A156" s="46" t="s">
        <v>244</v>
      </c>
      <c r="B156" s="46">
        <v>7</v>
      </c>
      <c r="C156" s="46"/>
      <c r="D156" s="47">
        <f t="shared" si="3"/>
        <v>7</v>
      </c>
      <c r="E156" s="46"/>
      <c r="F156" s="46"/>
      <c r="G156" s="47">
        <f t="shared" si="4"/>
        <v>7</v>
      </c>
      <c r="H156" s="48">
        <v>500</v>
      </c>
      <c r="I156" s="35">
        <f t="shared" si="5"/>
        <v>3500</v>
      </c>
    </row>
    <row r="157" spans="1:9" x14ac:dyDescent="0.3">
      <c r="A157" s="46" t="s">
        <v>245</v>
      </c>
      <c r="B157" s="46"/>
      <c r="C157" s="46"/>
      <c r="D157" s="47">
        <f t="shared" si="3"/>
        <v>0</v>
      </c>
      <c r="E157" s="46"/>
      <c r="F157" s="46"/>
      <c r="G157" s="47">
        <f t="shared" si="4"/>
        <v>0</v>
      </c>
      <c r="H157" s="48">
        <v>250</v>
      </c>
      <c r="I157" s="35">
        <f t="shared" si="5"/>
        <v>0</v>
      </c>
    </row>
    <row r="158" spans="1:9" x14ac:dyDescent="0.3">
      <c r="A158" s="46" t="s">
        <v>246</v>
      </c>
      <c r="B158" s="46"/>
      <c r="C158" s="46"/>
      <c r="D158" s="47">
        <f t="shared" si="3"/>
        <v>0</v>
      </c>
      <c r="E158" s="46"/>
      <c r="F158" s="46"/>
      <c r="G158" s="47">
        <f t="shared" si="4"/>
        <v>0</v>
      </c>
      <c r="H158" s="48">
        <v>1200</v>
      </c>
      <c r="I158" s="35">
        <f t="shared" si="5"/>
        <v>0</v>
      </c>
    </row>
    <row r="159" spans="1:9" x14ac:dyDescent="0.3">
      <c r="A159" s="46" t="s">
        <v>247</v>
      </c>
      <c r="B159" s="46">
        <v>7</v>
      </c>
      <c r="C159" s="46"/>
      <c r="D159" s="47">
        <f t="shared" si="3"/>
        <v>7</v>
      </c>
      <c r="E159" s="46"/>
      <c r="F159" s="46"/>
      <c r="G159" s="47">
        <f t="shared" si="4"/>
        <v>7</v>
      </c>
      <c r="H159" s="48">
        <v>230</v>
      </c>
      <c r="I159" s="35">
        <f t="shared" si="5"/>
        <v>1610</v>
      </c>
    </row>
    <row r="160" spans="1:9" x14ac:dyDescent="0.3">
      <c r="A160" s="46" t="s">
        <v>248</v>
      </c>
      <c r="B160" s="46"/>
      <c r="C160" s="46"/>
      <c r="D160" s="47">
        <f t="shared" si="3"/>
        <v>0</v>
      </c>
      <c r="E160" s="46"/>
      <c r="F160" s="46"/>
      <c r="G160" s="47">
        <f t="shared" si="4"/>
        <v>0</v>
      </c>
      <c r="H160" s="48">
        <v>25</v>
      </c>
      <c r="I160" s="35">
        <f t="shared" si="5"/>
        <v>0</v>
      </c>
    </row>
    <row r="161" spans="1:9" x14ac:dyDescent="0.3">
      <c r="A161" s="46"/>
      <c r="B161" s="46"/>
      <c r="C161" s="46"/>
      <c r="D161" s="47"/>
      <c r="E161" s="46"/>
      <c r="F161" s="46"/>
      <c r="G161" s="47"/>
      <c r="H161" s="48"/>
      <c r="I161" s="35">
        <f t="shared" si="5"/>
        <v>0</v>
      </c>
    </row>
    <row r="162" spans="1:9" x14ac:dyDescent="0.3">
      <c r="A162" s="42" t="s">
        <v>249</v>
      </c>
      <c r="B162" s="46"/>
      <c r="C162" s="46"/>
      <c r="D162" s="47">
        <f t="shared" si="3"/>
        <v>0</v>
      </c>
      <c r="E162" s="46"/>
      <c r="F162" s="46"/>
      <c r="G162" s="47">
        <f t="shared" si="4"/>
        <v>0</v>
      </c>
      <c r="H162" s="48"/>
      <c r="I162" s="35">
        <f t="shared" si="5"/>
        <v>0</v>
      </c>
    </row>
    <row r="163" spans="1:9" x14ac:dyDescent="0.3">
      <c r="A163" s="46" t="s">
        <v>250</v>
      </c>
      <c r="B163" s="46">
        <v>7</v>
      </c>
      <c r="C163" s="46"/>
      <c r="D163" s="47">
        <f t="shared" si="3"/>
        <v>7</v>
      </c>
      <c r="E163" s="46"/>
      <c r="F163" s="46"/>
      <c r="G163" s="47">
        <f t="shared" si="4"/>
        <v>7</v>
      </c>
      <c r="H163" s="48">
        <v>500</v>
      </c>
      <c r="I163" s="35">
        <f t="shared" si="5"/>
        <v>3500</v>
      </c>
    </row>
    <row r="164" spans="1:9" x14ac:dyDescent="0.3">
      <c r="A164" s="46" t="s">
        <v>251</v>
      </c>
      <c r="B164" s="46">
        <v>13</v>
      </c>
      <c r="C164" s="46"/>
      <c r="D164" s="47">
        <f t="shared" si="3"/>
        <v>13</v>
      </c>
      <c r="E164" s="46"/>
      <c r="F164" s="46"/>
      <c r="G164" s="47">
        <f t="shared" si="4"/>
        <v>13</v>
      </c>
      <c r="H164" s="48">
        <v>100</v>
      </c>
      <c r="I164" s="35">
        <f t="shared" si="5"/>
        <v>1300</v>
      </c>
    </row>
    <row r="165" spans="1:9" x14ac:dyDescent="0.3">
      <c r="A165" s="46" t="s">
        <v>252</v>
      </c>
      <c r="B165" s="46">
        <v>5</v>
      </c>
      <c r="C165" s="46"/>
      <c r="D165" s="47">
        <f t="shared" si="3"/>
        <v>5</v>
      </c>
      <c r="E165" s="46"/>
      <c r="F165" s="46"/>
      <c r="G165" s="47">
        <f t="shared" si="4"/>
        <v>5</v>
      </c>
      <c r="H165" s="48">
        <v>200</v>
      </c>
      <c r="I165" s="35">
        <f t="shared" si="5"/>
        <v>1000</v>
      </c>
    </row>
    <row r="166" spans="1:9" x14ac:dyDescent="0.3">
      <c r="A166" s="46" t="s">
        <v>253</v>
      </c>
      <c r="B166" s="46"/>
      <c r="C166" s="46"/>
      <c r="D166" s="47">
        <f t="shared" si="3"/>
        <v>0</v>
      </c>
      <c r="E166" s="46"/>
      <c r="F166" s="46"/>
      <c r="G166" s="47">
        <f t="shared" si="4"/>
        <v>0</v>
      </c>
      <c r="H166" s="48">
        <v>900</v>
      </c>
      <c r="I166" s="35">
        <f t="shared" si="5"/>
        <v>0</v>
      </c>
    </row>
    <row r="167" spans="1:9" x14ac:dyDescent="0.3">
      <c r="A167" s="46" t="s">
        <v>254</v>
      </c>
      <c r="B167" s="46"/>
      <c r="C167" s="46"/>
      <c r="D167" s="47">
        <f t="shared" si="3"/>
        <v>0</v>
      </c>
      <c r="E167" s="46"/>
      <c r="F167" s="46"/>
      <c r="G167" s="47">
        <f t="shared" si="4"/>
        <v>0</v>
      </c>
      <c r="H167" s="48">
        <v>45</v>
      </c>
      <c r="I167" s="35">
        <f t="shared" si="5"/>
        <v>0</v>
      </c>
    </row>
    <row r="168" spans="1:9" x14ac:dyDescent="0.3">
      <c r="A168" s="46" t="s">
        <v>255</v>
      </c>
      <c r="B168" s="46"/>
      <c r="C168" s="46"/>
      <c r="D168" s="47">
        <f t="shared" si="3"/>
        <v>0</v>
      </c>
      <c r="E168" s="46"/>
      <c r="F168" s="46"/>
      <c r="G168" s="47">
        <f t="shared" si="4"/>
        <v>0</v>
      </c>
      <c r="H168" s="48"/>
      <c r="I168" s="35">
        <f t="shared" si="5"/>
        <v>0</v>
      </c>
    </row>
    <row r="169" spans="1:9" x14ac:dyDescent="0.3">
      <c r="A169" s="46" t="s">
        <v>109</v>
      </c>
      <c r="B169" s="46">
        <v>4</v>
      </c>
      <c r="C169" s="46"/>
      <c r="D169" s="47">
        <f t="shared" si="3"/>
        <v>4</v>
      </c>
      <c r="E169" s="46"/>
      <c r="F169" s="46"/>
      <c r="G169" s="47">
        <f t="shared" si="4"/>
        <v>4</v>
      </c>
      <c r="H169" s="48">
        <v>850</v>
      </c>
      <c r="I169" s="35">
        <f t="shared" si="5"/>
        <v>3400</v>
      </c>
    </row>
    <row r="170" spans="1:9" x14ac:dyDescent="0.3">
      <c r="A170" s="46" t="s">
        <v>256</v>
      </c>
      <c r="B170" s="46">
        <v>19</v>
      </c>
      <c r="C170" s="46"/>
      <c r="D170" s="47">
        <f t="shared" si="3"/>
        <v>19</v>
      </c>
      <c r="E170" s="46"/>
      <c r="F170" s="46"/>
      <c r="G170" s="47">
        <f t="shared" si="4"/>
        <v>19</v>
      </c>
      <c r="H170" s="48">
        <v>400</v>
      </c>
      <c r="I170" s="35">
        <f t="shared" si="5"/>
        <v>7600</v>
      </c>
    </row>
    <row r="171" spans="1:9" x14ac:dyDescent="0.3">
      <c r="A171" s="46" t="s">
        <v>257</v>
      </c>
      <c r="B171" s="46">
        <v>8</v>
      </c>
      <c r="C171" s="46"/>
      <c r="D171" s="47">
        <f t="shared" si="3"/>
        <v>8</v>
      </c>
      <c r="E171" s="46"/>
      <c r="F171" s="46"/>
      <c r="G171" s="47">
        <f t="shared" si="4"/>
        <v>8</v>
      </c>
      <c r="H171" s="48">
        <v>25</v>
      </c>
      <c r="I171" s="35">
        <f t="shared" si="5"/>
        <v>200</v>
      </c>
    </row>
    <row r="172" spans="1:9" x14ac:dyDescent="0.3">
      <c r="A172" s="46" t="s">
        <v>258</v>
      </c>
      <c r="B172" s="46">
        <v>10</v>
      </c>
      <c r="C172" s="46"/>
      <c r="D172" s="47">
        <f t="shared" si="3"/>
        <v>10</v>
      </c>
      <c r="E172" s="46"/>
      <c r="F172" s="46"/>
      <c r="G172" s="47">
        <f t="shared" si="4"/>
        <v>10</v>
      </c>
      <c r="H172" s="48">
        <v>650</v>
      </c>
      <c r="I172" s="35">
        <f t="shared" si="5"/>
        <v>6500</v>
      </c>
    </row>
    <row r="173" spans="1:9" x14ac:dyDescent="0.3">
      <c r="A173" s="46" t="s">
        <v>259</v>
      </c>
      <c r="B173" s="46"/>
      <c r="C173" s="46"/>
      <c r="D173" s="47">
        <f t="shared" si="3"/>
        <v>0</v>
      </c>
      <c r="E173" s="46"/>
      <c r="F173" s="46"/>
      <c r="G173" s="47">
        <f t="shared" si="4"/>
        <v>0</v>
      </c>
      <c r="H173" s="48">
        <v>500</v>
      </c>
      <c r="I173" s="35">
        <f t="shared" si="5"/>
        <v>0</v>
      </c>
    </row>
    <row r="174" spans="1:9" x14ac:dyDescent="0.3">
      <c r="A174" s="42" t="s">
        <v>260</v>
      </c>
      <c r="B174" s="46"/>
      <c r="C174" s="46"/>
      <c r="D174" s="47">
        <f t="shared" ref="D174:D242" si="6">B174+C174</f>
        <v>0</v>
      </c>
      <c r="E174" s="46"/>
      <c r="F174" s="46"/>
      <c r="G174" s="47">
        <f t="shared" si="4"/>
        <v>0</v>
      </c>
      <c r="H174" s="48"/>
      <c r="I174" s="35">
        <f t="shared" si="5"/>
        <v>0</v>
      </c>
    </row>
    <row r="175" spans="1:9" x14ac:dyDescent="0.3">
      <c r="A175" s="46" t="s">
        <v>261</v>
      </c>
      <c r="B175" s="46">
        <v>42</v>
      </c>
      <c r="C175" s="46"/>
      <c r="D175" s="47">
        <f t="shared" si="6"/>
        <v>42</v>
      </c>
      <c r="E175" s="46"/>
      <c r="F175" s="46"/>
      <c r="G175" s="47">
        <f t="shared" si="4"/>
        <v>42</v>
      </c>
      <c r="H175" s="48">
        <v>100</v>
      </c>
      <c r="I175" s="35">
        <f t="shared" si="5"/>
        <v>4200</v>
      </c>
    </row>
    <row r="176" spans="1:9" x14ac:dyDescent="0.3">
      <c r="A176" s="46" t="s">
        <v>262</v>
      </c>
      <c r="B176" s="46">
        <v>6</v>
      </c>
      <c r="C176" s="46"/>
      <c r="D176" s="47">
        <f t="shared" si="6"/>
        <v>6</v>
      </c>
      <c r="E176" s="46"/>
      <c r="F176" s="46"/>
      <c r="G176" s="47">
        <f t="shared" si="4"/>
        <v>6</v>
      </c>
      <c r="H176" s="48">
        <v>800</v>
      </c>
      <c r="I176" s="35">
        <f t="shared" si="5"/>
        <v>4800</v>
      </c>
    </row>
    <row r="177" spans="1:9" x14ac:dyDescent="0.3">
      <c r="A177" s="46" t="s">
        <v>263</v>
      </c>
      <c r="B177" s="46"/>
      <c r="C177" s="46"/>
      <c r="D177" s="47">
        <f t="shared" si="6"/>
        <v>0</v>
      </c>
      <c r="E177" s="46"/>
      <c r="F177" s="46"/>
      <c r="G177" s="47">
        <f t="shared" si="4"/>
        <v>0</v>
      </c>
      <c r="H177" s="48">
        <v>1000</v>
      </c>
      <c r="I177" s="35">
        <f t="shared" si="5"/>
        <v>0</v>
      </c>
    </row>
    <row r="178" spans="1:9" x14ac:dyDescent="0.3">
      <c r="A178" s="46" t="s">
        <v>264</v>
      </c>
      <c r="B178" s="46">
        <v>35</v>
      </c>
      <c r="C178" s="46"/>
      <c r="D178" s="47">
        <f t="shared" si="6"/>
        <v>35</v>
      </c>
      <c r="E178" s="46"/>
      <c r="F178" s="46"/>
      <c r="G178" s="47">
        <f t="shared" si="4"/>
        <v>35</v>
      </c>
      <c r="H178" s="48">
        <v>120</v>
      </c>
      <c r="I178" s="35">
        <f t="shared" si="5"/>
        <v>4200</v>
      </c>
    </row>
    <row r="179" spans="1:9" x14ac:dyDescent="0.3">
      <c r="A179" s="46" t="s">
        <v>265</v>
      </c>
      <c r="B179" s="46">
        <v>1</v>
      </c>
      <c r="C179" s="46"/>
      <c r="D179" s="47">
        <f t="shared" si="6"/>
        <v>1</v>
      </c>
      <c r="E179" s="46"/>
      <c r="F179" s="46"/>
      <c r="G179" s="47">
        <f t="shared" si="4"/>
        <v>1</v>
      </c>
      <c r="H179" s="49">
        <v>400</v>
      </c>
      <c r="I179" s="35">
        <f t="shared" si="5"/>
        <v>400</v>
      </c>
    </row>
    <row r="180" spans="1:9" x14ac:dyDescent="0.3">
      <c r="A180" s="46"/>
      <c r="B180" s="46"/>
      <c r="C180" s="46"/>
      <c r="D180" s="47">
        <f t="shared" si="6"/>
        <v>0</v>
      </c>
      <c r="E180" s="46"/>
      <c r="F180" s="46"/>
      <c r="G180" s="47">
        <f t="shared" si="4"/>
        <v>0</v>
      </c>
      <c r="H180" s="48">
        <v>300</v>
      </c>
      <c r="I180" s="35">
        <f t="shared" si="5"/>
        <v>0</v>
      </c>
    </row>
    <row r="181" spans="1:9" x14ac:dyDescent="0.3">
      <c r="A181" s="46"/>
      <c r="B181" s="46"/>
      <c r="C181" s="46"/>
      <c r="D181" s="47">
        <f t="shared" si="6"/>
        <v>0</v>
      </c>
      <c r="E181" s="46"/>
      <c r="F181" s="46"/>
      <c r="G181" s="47">
        <f t="shared" si="4"/>
        <v>0</v>
      </c>
      <c r="H181" s="48"/>
      <c r="I181" s="35"/>
    </row>
    <row r="182" spans="1:9" x14ac:dyDescent="0.3">
      <c r="A182" s="42" t="s">
        <v>266</v>
      </c>
      <c r="B182" s="46"/>
      <c r="C182" s="46"/>
      <c r="D182" s="47">
        <f t="shared" si="6"/>
        <v>0</v>
      </c>
      <c r="E182" s="46"/>
      <c r="F182" s="46"/>
      <c r="G182" s="47">
        <f t="shared" si="4"/>
        <v>0</v>
      </c>
      <c r="H182" s="48"/>
      <c r="I182" s="35"/>
    </row>
    <row r="183" spans="1:9" x14ac:dyDescent="0.3">
      <c r="A183" s="46" t="s">
        <v>267</v>
      </c>
      <c r="B183" s="46"/>
      <c r="C183" s="46"/>
      <c r="D183" s="47">
        <f t="shared" si="6"/>
        <v>0</v>
      </c>
      <c r="E183" s="46"/>
      <c r="F183" s="46"/>
      <c r="G183" s="47">
        <f t="shared" si="4"/>
        <v>0</v>
      </c>
      <c r="H183" s="48">
        <v>130</v>
      </c>
      <c r="I183" s="35">
        <f t="shared" si="5"/>
        <v>0</v>
      </c>
    </row>
    <row r="184" spans="1:9" x14ac:dyDescent="0.3">
      <c r="A184" s="46"/>
      <c r="B184" s="46"/>
      <c r="C184" s="46"/>
      <c r="D184" s="47">
        <f t="shared" si="6"/>
        <v>0</v>
      </c>
      <c r="E184" s="46"/>
      <c r="F184" s="46"/>
      <c r="G184" s="47">
        <f t="shared" si="4"/>
        <v>0</v>
      </c>
      <c r="H184" s="48"/>
      <c r="I184" s="35">
        <f t="shared" si="5"/>
        <v>0</v>
      </c>
    </row>
    <row r="185" spans="1:9" x14ac:dyDescent="0.3">
      <c r="A185" s="42" t="s">
        <v>268</v>
      </c>
      <c r="B185" s="46"/>
      <c r="C185" s="46"/>
      <c r="D185" s="47">
        <f t="shared" si="6"/>
        <v>0</v>
      </c>
      <c r="E185" s="46"/>
      <c r="F185" s="46"/>
      <c r="G185" s="47">
        <f t="shared" si="4"/>
        <v>0</v>
      </c>
      <c r="H185" s="48"/>
      <c r="I185" s="35">
        <f t="shared" si="5"/>
        <v>0</v>
      </c>
    </row>
    <row r="186" spans="1:9" x14ac:dyDescent="0.3">
      <c r="A186" s="46" t="s">
        <v>269</v>
      </c>
      <c r="B186" s="46"/>
      <c r="C186" s="46"/>
      <c r="D186" s="47">
        <f t="shared" si="6"/>
        <v>0</v>
      </c>
      <c r="E186" s="46"/>
      <c r="F186" s="46"/>
      <c r="G186" s="47">
        <f t="shared" si="4"/>
        <v>0</v>
      </c>
      <c r="H186" s="48">
        <v>700</v>
      </c>
      <c r="I186" s="35">
        <f t="shared" si="5"/>
        <v>0</v>
      </c>
    </row>
    <row r="187" spans="1:9" x14ac:dyDescent="0.3">
      <c r="A187" s="46" t="s">
        <v>270</v>
      </c>
      <c r="B187" s="46"/>
      <c r="C187" s="46"/>
      <c r="D187" s="47">
        <f t="shared" si="6"/>
        <v>0</v>
      </c>
      <c r="E187" s="46"/>
      <c r="F187" s="46"/>
      <c r="G187" s="47">
        <f t="shared" si="4"/>
        <v>0</v>
      </c>
      <c r="H187" s="48">
        <v>650</v>
      </c>
      <c r="I187" s="35">
        <f t="shared" si="5"/>
        <v>0</v>
      </c>
    </row>
    <row r="188" spans="1:9" x14ac:dyDescent="0.3">
      <c r="A188" s="46" t="s">
        <v>271</v>
      </c>
      <c r="B188" s="46"/>
      <c r="C188" s="46"/>
      <c r="D188" s="47">
        <f t="shared" si="6"/>
        <v>0</v>
      </c>
      <c r="E188" s="46"/>
      <c r="F188" s="46"/>
      <c r="G188" s="47">
        <f t="shared" si="4"/>
        <v>0</v>
      </c>
      <c r="H188" s="48">
        <v>300</v>
      </c>
      <c r="I188" s="35">
        <f t="shared" si="5"/>
        <v>0</v>
      </c>
    </row>
    <row r="189" spans="1:9" x14ac:dyDescent="0.3">
      <c r="A189" s="46" t="s">
        <v>272</v>
      </c>
      <c r="B189" s="46">
        <v>500</v>
      </c>
      <c r="C189" s="46"/>
      <c r="D189" s="47">
        <f t="shared" si="6"/>
        <v>500</v>
      </c>
      <c r="E189" s="46"/>
      <c r="F189" s="46"/>
      <c r="G189" s="47">
        <f t="shared" si="4"/>
        <v>500</v>
      </c>
      <c r="H189" s="48">
        <v>20</v>
      </c>
      <c r="I189" s="35">
        <f t="shared" si="5"/>
        <v>10000</v>
      </c>
    </row>
    <row r="190" spans="1:9" x14ac:dyDescent="0.3">
      <c r="A190" s="46" t="s">
        <v>273</v>
      </c>
      <c r="B190" s="46"/>
      <c r="C190" s="46"/>
      <c r="D190" s="47">
        <f t="shared" si="6"/>
        <v>0</v>
      </c>
      <c r="E190" s="46"/>
      <c r="F190" s="46"/>
      <c r="G190" s="47">
        <f t="shared" si="4"/>
        <v>0</v>
      </c>
      <c r="H190" s="48">
        <v>700</v>
      </c>
      <c r="I190" s="35">
        <f t="shared" si="5"/>
        <v>0</v>
      </c>
    </row>
    <row r="191" spans="1:9" x14ac:dyDescent="0.3">
      <c r="A191" s="46" t="s">
        <v>274</v>
      </c>
      <c r="B191" s="46"/>
      <c r="C191" s="46"/>
      <c r="D191" s="47">
        <f t="shared" si="6"/>
        <v>0</v>
      </c>
      <c r="E191" s="46"/>
      <c r="F191" s="46"/>
      <c r="G191" s="47">
        <f t="shared" si="4"/>
        <v>0</v>
      </c>
      <c r="H191" s="48"/>
      <c r="I191" s="35">
        <f t="shared" si="5"/>
        <v>0</v>
      </c>
    </row>
    <row r="192" spans="1:9" x14ac:dyDescent="0.3">
      <c r="A192" s="46" t="s">
        <v>275</v>
      </c>
      <c r="B192" s="46"/>
      <c r="C192" s="46"/>
      <c r="D192" s="47">
        <f t="shared" si="6"/>
        <v>0</v>
      </c>
      <c r="E192" s="46"/>
      <c r="F192" s="46"/>
      <c r="G192" s="47">
        <f t="shared" si="4"/>
        <v>0</v>
      </c>
      <c r="H192" s="48">
        <v>650</v>
      </c>
      <c r="I192" s="35">
        <f t="shared" si="5"/>
        <v>0</v>
      </c>
    </row>
    <row r="193" spans="1:9" x14ac:dyDescent="0.3">
      <c r="A193" s="46" t="s">
        <v>276</v>
      </c>
      <c r="B193" s="46">
        <v>159</v>
      </c>
      <c r="C193" s="46"/>
      <c r="D193" s="47">
        <f t="shared" si="6"/>
        <v>159</v>
      </c>
      <c r="E193" s="46"/>
      <c r="F193" s="46"/>
      <c r="G193" s="47">
        <f t="shared" si="4"/>
        <v>159</v>
      </c>
      <c r="H193" s="48">
        <v>600</v>
      </c>
      <c r="I193" s="35">
        <f t="shared" si="5"/>
        <v>95400</v>
      </c>
    </row>
    <row r="194" spans="1:9" x14ac:dyDescent="0.3">
      <c r="A194" s="46" t="s">
        <v>277</v>
      </c>
      <c r="B194" s="46">
        <v>10</v>
      </c>
      <c r="C194" s="46"/>
      <c r="D194" s="47">
        <f t="shared" si="6"/>
        <v>10</v>
      </c>
      <c r="E194" s="46"/>
      <c r="F194" s="46"/>
      <c r="G194" s="47">
        <f t="shared" si="4"/>
        <v>10</v>
      </c>
      <c r="H194" s="48">
        <v>600</v>
      </c>
      <c r="I194" s="35">
        <f t="shared" si="5"/>
        <v>6000</v>
      </c>
    </row>
    <row r="195" spans="1:9" x14ac:dyDescent="0.3">
      <c r="A195" s="46" t="s">
        <v>278</v>
      </c>
      <c r="B195" s="46">
        <v>40</v>
      </c>
      <c r="C195" s="46"/>
      <c r="D195" s="47">
        <f t="shared" si="6"/>
        <v>40</v>
      </c>
      <c r="E195" s="46"/>
      <c r="F195" s="46"/>
      <c r="G195" s="47">
        <f t="shared" si="4"/>
        <v>40</v>
      </c>
      <c r="H195" s="48">
        <v>70</v>
      </c>
      <c r="I195" s="35">
        <f t="shared" si="5"/>
        <v>2800</v>
      </c>
    </row>
    <row r="196" spans="1:9" x14ac:dyDescent="0.3">
      <c r="A196" s="46" t="s">
        <v>279</v>
      </c>
      <c r="B196" s="46">
        <v>286</v>
      </c>
      <c r="C196" s="46"/>
      <c r="D196" s="47">
        <f t="shared" si="6"/>
        <v>286</v>
      </c>
      <c r="E196" s="46"/>
      <c r="F196" s="46"/>
      <c r="G196" s="47">
        <f t="shared" si="4"/>
        <v>286</v>
      </c>
      <c r="H196" s="48">
        <v>20</v>
      </c>
      <c r="I196" s="35">
        <f t="shared" si="5"/>
        <v>5720</v>
      </c>
    </row>
    <row r="197" spans="1:9" x14ac:dyDescent="0.3">
      <c r="A197" s="46" t="s">
        <v>280</v>
      </c>
      <c r="B197" s="46">
        <v>100</v>
      </c>
      <c r="C197" s="46"/>
      <c r="D197" s="47">
        <f t="shared" si="6"/>
        <v>100</v>
      </c>
      <c r="E197" s="46"/>
      <c r="F197" s="46"/>
      <c r="G197" s="47">
        <f t="shared" si="4"/>
        <v>100</v>
      </c>
      <c r="H197" s="48">
        <v>4.5</v>
      </c>
      <c r="I197" s="35">
        <f t="shared" si="5"/>
        <v>450</v>
      </c>
    </row>
    <row r="198" spans="1:9" x14ac:dyDescent="0.3">
      <c r="A198" s="46" t="s">
        <v>281</v>
      </c>
      <c r="B198" s="46">
        <v>20</v>
      </c>
      <c r="C198" s="46"/>
      <c r="D198" s="47">
        <f t="shared" si="6"/>
        <v>20</v>
      </c>
      <c r="E198" s="46"/>
      <c r="F198" s="46"/>
      <c r="G198" s="47">
        <f t="shared" si="4"/>
        <v>20</v>
      </c>
      <c r="H198" s="48">
        <v>700</v>
      </c>
      <c r="I198" s="35">
        <f t="shared" ref="I198:I291" si="7">G198*H198</f>
        <v>14000</v>
      </c>
    </row>
    <row r="199" spans="1:9" x14ac:dyDescent="0.3">
      <c r="A199" s="46" t="s">
        <v>282</v>
      </c>
      <c r="B199" s="46">
        <v>1000</v>
      </c>
      <c r="C199" s="46"/>
      <c r="D199" s="47">
        <f t="shared" si="6"/>
        <v>1000</v>
      </c>
      <c r="E199" s="46"/>
      <c r="F199" s="46"/>
      <c r="G199" s="47">
        <f t="shared" si="4"/>
        <v>1000</v>
      </c>
      <c r="H199" s="48">
        <v>20</v>
      </c>
      <c r="I199" s="35">
        <f t="shared" si="7"/>
        <v>20000</v>
      </c>
    </row>
    <row r="200" spans="1:9" x14ac:dyDescent="0.3">
      <c r="A200" s="46" t="s">
        <v>283</v>
      </c>
      <c r="B200" s="46">
        <v>1000</v>
      </c>
      <c r="C200" s="46"/>
      <c r="D200" s="47">
        <f t="shared" si="6"/>
        <v>1000</v>
      </c>
      <c r="E200" s="46"/>
      <c r="F200" s="46"/>
      <c r="G200" s="47">
        <f t="shared" si="4"/>
        <v>1000</v>
      </c>
      <c r="H200" s="48">
        <v>30</v>
      </c>
      <c r="I200" s="35">
        <f t="shared" si="7"/>
        <v>30000</v>
      </c>
    </row>
    <row r="201" spans="1:9" x14ac:dyDescent="0.3">
      <c r="A201" s="46" t="s">
        <v>284</v>
      </c>
      <c r="B201" s="46"/>
      <c r="C201" s="46"/>
      <c r="D201" s="47">
        <f t="shared" si="6"/>
        <v>0</v>
      </c>
      <c r="E201" s="46"/>
      <c r="F201" s="46"/>
      <c r="G201" s="47">
        <f t="shared" si="4"/>
        <v>0</v>
      </c>
      <c r="H201" s="48">
        <v>20</v>
      </c>
      <c r="I201" s="35">
        <f t="shared" si="7"/>
        <v>0</v>
      </c>
    </row>
    <row r="202" spans="1:9" x14ac:dyDescent="0.3">
      <c r="A202" s="46" t="s">
        <v>285</v>
      </c>
      <c r="B202" s="46"/>
      <c r="C202" s="46"/>
      <c r="D202" s="47">
        <f t="shared" si="6"/>
        <v>0</v>
      </c>
      <c r="E202" s="46"/>
      <c r="F202" s="46"/>
      <c r="G202" s="47">
        <f t="shared" si="4"/>
        <v>0</v>
      </c>
      <c r="H202" s="48">
        <v>350</v>
      </c>
      <c r="I202" s="35">
        <f t="shared" si="7"/>
        <v>0</v>
      </c>
    </row>
    <row r="203" spans="1:9" x14ac:dyDescent="0.3">
      <c r="A203" s="46" t="s">
        <v>286</v>
      </c>
      <c r="B203" s="46">
        <v>5</v>
      </c>
      <c r="C203" s="46"/>
      <c r="D203" s="47">
        <f t="shared" si="6"/>
        <v>5</v>
      </c>
      <c r="E203" s="46"/>
      <c r="F203" s="46"/>
      <c r="G203" s="47">
        <f t="shared" si="4"/>
        <v>5</v>
      </c>
      <c r="H203" s="48">
        <v>520</v>
      </c>
      <c r="I203" s="35">
        <f>G203*H203</f>
        <v>2600</v>
      </c>
    </row>
    <row r="204" spans="1:9" x14ac:dyDescent="0.3">
      <c r="A204" s="46" t="s">
        <v>287</v>
      </c>
      <c r="B204" s="46"/>
      <c r="C204" s="46"/>
      <c r="D204" s="47">
        <f t="shared" si="6"/>
        <v>0</v>
      </c>
      <c r="E204" s="46"/>
      <c r="F204" s="46"/>
      <c r="G204" s="47">
        <f t="shared" si="4"/>
        <v>0</v>
      </c>
      <c r="H204" s="48">
        <v>480</v>
      </c>
      <c r="I204" s="35">
        <f t="shared" si="7"/>
        <v>0</v>
      </c>
    </row>
    <row r="205" spans="1:9" x14ac:dyDescent="0.3">
      <c r="A205" s="46" t="s">
        <v>288</v>
      </c>
      <c r="B205" s="46"/>
      <c r="C205" s="46"/>
      <c r="D205" s="47">
        <f t="shared" si="6"/>
        <v>0</v>
      </c>
      <c r="E205" s="46"/>
      <c r="F205" s="46"/>
      <c r="G205" s="47">
        <f t="shared" si="4"/>
        <v>0</v>
      </c>
      <c r="H205" s="48">
        <v>1585</v>
      </c>
      <c r="I205" s="35">
        <f t="shared" si="7"/>
        <v>0</v>
      </c>
    </row>
    <row r="206" spans="1:9" x14ac:dyDescent="0.3">
      <c r="A206" s="46" t="s">
        <v>289</v>
      </c>
      <c r="B206" s="46"/>
      <c r="C206" s="46"/>
      <c r="D206" s="47">
        <f t="shared" si="6"/>
        <v>0</v>
      </c>
      <c r="E206" s="46"/>
      <c r="F206" s="46"/>
      <c r="G206" s="47">
        <f t="shared" si="4"/>
        <v>0</v>
      </c>
      <c r="H206" s="48">
        <v>750</v>
      </c>
      <c r="I206" s="35">
        <f t="shared" si="7"/>
        <v>0</v>
      </c>
    </row>
    <row r="207" spans="1:9" x14ac:dyDescent="0.3">
      <c r="A207" s="46" t="s">
        <v>290</v>
      </c>
      <c r="B207" s="46"/>
      <c r="C207" s="46"/>
      <c r="D207" s="47">
        <f t="shared" si="6"/>
        <v>0</v>
      </c>
      <c r="E207" s="46"/>
      <c r="F207" s="46"/>
      <c r="G207" s="47">
        <f t="shared" si="4"/>
        <v>0</v>
      </c>
      <c r="H207" s="48">
        <v>800</v>
      </c>
      <c r="I207" s="35">
        <v>800</v>
      </c>
    </row>
    <row r="208" spans="1:9" x14ac:dyDescent="0.3">
      <c r="A208" s="46" t="s">
        <v>291</v>
      </c>
      <c r="B208" s="46"/>
      <c r="C208" s="46"/>
      <c r="D208" s="47">
        <f t="shared" si="6"/>
        <v>0</v>
      </c>
      <c r="E208" s="46"/>
      <c r="F208" s="46"/>
      <c r="G208" s="47">
        <f t="shared" si="4"/>
        <v>0</v>
      </c>
      <c r="H208" s="48">
        <v>2200</v>
      </c>
      <c r="I208" s="35">
        <f t="shared" si="7"/>
        <v>0</v>
      </c>
    </row>
    <row r="209" spans="1:9" x14ac:dyDescent="0.3">
      <c r="A209" s="46" t="s">
        <v>292</v>
      </c>
      <c r="B209" s="46"/>
      <c r="C209" s="46"/>
      <c r="D209" s="47">
        <f t="shared" si="6"/>
        <v>0</v>
      </c>
      <c r="E209" s="46"/>
      <c r="F209" s="46"/>
      <c r="G209" s="47">
        <f t="shared" si="4"/>
        <v>0</v>
      </c>
      <c r="H209" s="48">
        <v>1100</v>
      </c>
      <c r="I209" s="35">
        <f t="shared" si="7"/>
        <v>0</v>
      </c>
    </row>
    <row r="210" spans="1:9" x14ac:dyDescent="0.3">
      <c r="A210" s="46"/>
      <c r="B210" s="46"/>
      <c r="C210" s="46"/>
      <c r="D210" s="47"/>
      <c r="E210" s="46"/>
      <c r="F210" s="46"/>
      <c r="G210" s="47"/>
      <c r="H210" s="48"/>
      <c r="I210" s="35"/>
    </row>
    <row r="211" spans="1:9" x14ac:dyDescent="0.3">
      <c r="A211" s="42" t="s">
        <v>293</v>
      </c>
      <c r="B211" s="46"/>
      <c r="C211" s="46"/>
      <c r="D211" s="47">
        <f t="shared" si="6"/>
        <v>0</v>
      </c>
      <c r="E211" s="46"/>
      <c r="F211" s="46"/>
      <c r="G211" s="47">
        <f t="shared" si="4"/>
        <v>0</v>
      </c>
      <c r="H211" s="48"/>
      <c r="I211" s="35">
        <f t="shared" si="7"/>
        <v>0</v>
      </c>
    </row>
    <row r="212" spans="1:9" x14ac:dyDescent="0.3">
      <c r="A212" s="46" t="s">
        <v>294</v>
      </c>
      <c r="B212" s="46">
        <v>9</v>
      </c>
      <c r="C212" s="46"/>
      <c r="D212" s="47">
        <f t="shared" si="6"/>
        <v>9</v>
      </c>
      <c r="E212" s="46"/>
      <c r="F212" s="46"/>
      <c r="G212" s="47">
        <f t="shared" si="4"/>
        <v>9</v>
      </c>
      <c r="H212" s="48">
        <v>1400</v>
      </c>
      <c r="I212" s="35">
        <f t="shared" si="7"/>
        <v>12600</v>
      </c>
    </row>
    <row r="213" spans="1:9" x14ac:dyDescent="0.3">
      <c r="A213" s="46" t="s">
        <v>295</v>
      </c>
      <c r="B213" s="46">
        <v>34</v>
      </c>
      <c r="C213" s="46"/>
      <c r="D213" s="47">
        <f t="shared" si="6"/>
        <v>34</v>
      </c>
      <c r="E213" s="46"/>
      <c r="F213" s="46"/>
      <c r="G213" s="47">
        <f t="shared" si="4"/>
        <v>34</v>
      </c>
      <c r="H213" s="48">
        <v>600</v>
      </c>
      <c r="I213" s="35">
        <f t="shared" si="7"/>
        <v>20400</v>
      </c>
    </row>
    <row r="214" spans="1:9" x14ac:dyDescent="0.3">
      <c r="A214" s="46" t="s">
        <v>296</v>
      </c>
      <c r="B214" s="46"/>
      <c r="C214" s="46"/>
      <c r="D214" s="47">
        <f t="shared" si="6"/>
        <v>0</v>
      </c>
      <c r="E214" s="46"/>
      <c r="F214" s="46"/>
      <c r="G214" s="47">
        <f t="shared" si="4"/>
        <v>0</v>
      </c>
      <c r="H214" s="48">
        <v>2500</v>
      </c>
      <c r="I214" s="35">
        <f t="shared" si="7"/>
        <v>0</v>
      </c>
    </row>
    <row r="215" spans="1:9" x14ac:dyDescent="0.3">
      <c r="A215" s="46" t="s">
        <v>256</v>
      </c>
      <c r="B215" s="46">
        <v>25</v>
      </c>
      <c r="C215" s="46"/>
      <c r="D215" s="47">
        <f t="shared" si="6"/>
        <v>25</v>
      </c>
      <c r="E215" s="46"/>
      <c r="F215" s="46"/>
      <c r="G215" s="47">
        <f t="shared" si="4"/>
        <v>25</v>
      </c>
      <c r="H215" s="49">
        <v>250</v>
      </c>
      <c r="I215" s="35">
        <f t="shared" si="7"/>
        <v>6250</v>
      </c>
    </row>
    <row r="216" spans="1:9" x14ac:dyDescent="0.3">
      <c r="A216" s="46" t="s">
        <v>297</v>
      </c>
      <c r="B216" s="46"/>
      <c r="C216" s="46"/>
      <c r="D216" s="47">
        <f t="shared" si="6"/>
        <v>0</v>
      </c>
      <c r="E216" s="46"/>
      <c r="F216" s="46"/>
      <c r="G216" s="47">
        <f t="shared" si="4"/>
        <v>0</v>
      </c>
      <c r="H216" s="49">
        <v>600</v>
      </c>
      <c r="I216" s="35">
        <f t="shared" si="7"/>
        <v>0</v>
      </c>
    </row>
    <row r="217" spans="1:9" x14ac:dyDescent="0.3">
      <c r="A217" s="46" t="s">
        <v>298</v>
      </c>
      <c r="B217" s="46">
        <v>35</v>
      </c>
      <c r="C217" s="46"/>
      <c r="D217" s="47">
        <f t="shared" si="6"/>
        <v>35</v>
      </c>
      <c r="E217" s="46"/>
      <c r="F217" s="46"/>
      <c r="G217" s="47">
        <f t="shared" si="4"/>
        <v>35</v>
      </c>
      <c r="H217" s="48">
        <v>400</v>
      </c>
      <c r="I217" s="35">
        <f t="shared" si="7"/>
        <v>14000</v>
      </c>
    </row>
    <row r="218" spans="1:9" x14ac:dyDescent="0.3">
      <c r="A218" s="46" t="s">
        <v>299</v>
      </c>
      <c r="B218" s="46">
        <v>21</v>
      </c>
      <c r="C218" s="46"/>
      <c r="D218" s="47">
        <f t="shared" si="6"/>
        <v>21</v>
      </c>
      <c r="E218" s="46"/>
      <c r="F218" s="46"/>
      <c r="G218" s="47">
        <f t="shared" si="4"/>
        <v>21</v>
      </c>
      <c r="H218" s="49">
        <v>500</v>
      </c>
      <c r="I218" s="35">
        <f t="shared" si="7"/>
        <v>10500</v>
      </c>
    </row>
    <row r="219" spans="1:9" x14ac:dyDescent="0.3">
      <c r="A219" s="46" t="s">
        <v>228</v>
      </c>
      <c r="B219" s="46">
        <v>10</v>
      </c>
      <c r="C219" s="46"/>
      <c r="D219" s="47">
        <f t="shared" si="6"/>
        <v>10</v>
      </c>
      <c r="E219" s="46"/>
      <c r="F219" s="46"/>
      <c r="G219" s="47">
        <f t="shared" si="4"/>
        <v>10</v>
      </c>
      <c r="H219" s="48">
        <v>650</v>
      </c>
      <c r="I219" s="35">
        <f t="shared" si="7"/>
        <v>6500</v>
      </c>
    </row>
    <row r="220" spans="1:9" x14ac:dyDescent="0.3">
      <c r="A220" s="46" t="s">
        <v>300</v>
      </c>
      <c r="B220" s="46">
        <v>5</v>
      </c>
      <c r="C220" s="46"/>
      <c r="D220" s="47">
        <f t="shared" si="6"/>
        <v>5</v>
      </c>
      <c r="E220" s="46"/>
      <c r="F220" s="46"/>
      <c r="G220" s="47">
        <f t="shared" si="4"/>
        <v>5</v>
      </c>
      <c r="H220" s="48">
        <v>1400</v>
      </c>
      <c r="I220" s="35">
        <f t="shared" si="7"/>
        <v>7000</v>
      </c>
    </row>
    <row r="221" spans="1:9" x14ac:dyDescent="0.3">
      <c r="A221" s="46" t="s">
        <v>301</v>
      </c>
      <c r="B221" s="46">
        <v>20</v>
      </c>
      <c r="C221" s="46"/>
      <c r="D221" s="47">
        <f t="shared" si="6"/>
        <v>20</v>
      </c>
      <c r="E221" s="46"/>
      <c r="F221" s="46"/>
      <c r="G221" s="47">
        <f t="shared" si="4"/>
        <v>20</v>
      </c>
      <c r="H221" s="48">
        <v>200</v>
      </c>
      <c r="I221" s="35">
        <f t="shared" si="7"/>
        <v>4000</v>
      </c>
    </row>
    <row r="222" spans="1:9" x14ac:dyDescent="0.3">
      <c r="A222" s="46"/>
      <c r="B222" s="46"/>
      <c r="C222" s="46"/>
      <c r="D222" s="47">
        <f t="shared" si="6"/>
        <v>0</v>
      </c>
      <c r="E222" s="46"/>
      <c r="F222" s="46"/>
      <c r="G222" s="47">
        <f t="shared" si="4"/>
        <v>0</v>
      </c>
      <c r="H222" s="48">
        <v>100</v>
      </c>
      <c r="I222" s="35">
        <f t="shared" si="7"/>
        <v>0</v>
      </c>
    </row>
    <row r="223" spans="1:9" x14ac:dyDescent="0.3">
      <c r="A223" s="46" t="s">
        <v>302</v>
      </c>
      <c r="B223" s="46">
        <v>18</v>
      </c>
      <c r="C223" s="46"/>
      <c r="D223" s="47">
        <f t="shared" si="6"/>
        <v>18</v>
      </c>
      <c r="E223" s="46"/>
      <c r="F223" s="46"/>
      <c r="G223" s="47">
        <f t="shared" si="4"/>
        <v>18</v>
      </c>
      <c r="H223" s="48">
        <v>950</v>
      </c>
      <c r="I223" s="35">
        <f t="shared" si="7"/>
        <v>17100</v>
      </c>
    </row>
    <row r="224" spans="1:9" x14ac:dyDescent="0.3">
      <c r="A224" s="46" t="s">
        <v>303</v>
      </c>
      <c r="B224" s="46"/>
      <c r="C224" s="46"/>
      <c r="D224" s="47">
        <f t="shared" si="6"/>
        <v>0</v>
      </c>
      <c r="E224" s="46"/>
      <c r="F224" s="46"/>
      <c r="G224" s="47">
        <f t="shared" ref="G224:G337" si="8">D224-E224-F224</f>
        <v>0</v>
      </c>
      <c r="H224" s="49">
        <v>850</v>
      </c>
      <c r="I224" s="35">
        <f t="shared" si="7"/>
        <v>0</v>
      </c>
    </row>
    <row r="225" spans="1:9" x14ac:dyDescent="0.3">
      <c r="A225" s="46" t="s">
        <v>304</v>
      </c>
      <c r="B225" s="46"/>
      <c r="C225" s="46"/>
      <c r="D225" s="47">
        <f t="shared" si="6"/>
        <v>0</v>
      </c>
      <c r="E225" s="46"/>
      <c r="F225" s="46"/>
      <c r="G225" s="47">
        <f t="shared" si="8"/>
        <v>0</v>
      </c>
      <c r="H225" s="48"/>
      <c r="I225" s="35">
        <f t="shared" si="7"/>
        <v>0</v>
      </c>
    </row>
    <row r="226" spans="1:9" x14ac:dyDescent="0.3">
      <c r="A226" s="46" t="s">
        <v>305</v>
      </c>
      <c r="B226" s="46"/>
      <c r="C226" s="46"/>
      <c r="D226" s="47">
        <f t="shared" si="6"/>
        <v>0</v>
      </c>
      <c r="E226" s="46"/>
      <c r="F226" s="46"/>
      <c r="G226" s="47">
        <f t="shared" si="8"/>
        <v>0</v>
      </c>
      <c r="H226" s="51">
        <v>1100</v>
      </c>
      <c r="I226" s="35">
        <f t="shared" si="7"/>
        <v>0</v>
      </c>
    </row>
    <row r="227" spans="1:9" x14ac:dyDescent="0.3">
      <c r="A227" s="46" t="s">
        <v>306</v>
      </c>
      <c r="B227" s="46">
        <v>10</v>
      </c>
      <c r="C227" s="46"/>
      <c r="D227" s="47">
        <f t="shared" si="6"/>
        <v>10</v>
      </c>
      <c r="E227" s="46"/>
      <c r="F227" s="46"/>
      <c r="G227" s="47">
        <f t="shared" si="8"/>
        <v>10</v>
      </c>
      <c r="H227" s="48">
        <v>500</v>
      </c>
      <c r="I227" s="35">
        <f t="shared" si="7"/>
        <v>5000</v>
      </c>
    </row>
    <row r="228" spans="1:9" x14ac:dyDescent="0.3">
      <c r="A228" s="46" t="s">
        <v>307</v>
      </c>
      <c r="B228" s="46"/>
      <c r="C228" s="46"/>
      <c r="D228" s="47">
        <f t="shared" si="6"/>
        <v>0</v>
      </c>
      <c r="E228" s="46"/>
      <c r="F228" s="46"/>
      <c r="G228" s="47">
        <f t="shared" si="8"/>
        <v>0</v>
      </c>
      <c r="H228" s="49">
        <v>700</v>
      </c>
      <c r="I228" s="35">
        <f t="shared" si="7"/>
        <v>0</v>
      </c>
    </row>
    <row r="229" spans="1:9" x14ac:dyDescent="0.3">
      <c r="A229" s="46" t="s">
        <v>308</v>
      </c>
      <c r="B229" s="46">
        <v>5</v>
      </c>
      <c r="C229" s="46"/>
      <c r="D229" s="47">
        <f t="shared" si="6"/>
        <v>5</v>
      </c>
      <c r="E229" s="46"/>
      <c r="F229" s="46"/>
      <c r="G229" s="47">
        <f t="shared" si="8"/>
        <v>5</v>
      </c>
      <c r="H229" s="48">
        <v>250</v>
      </c>
      <c r="I229" s="35">
        <f t="shared" si="7"/>
        <v>1250</v>
      </c>
    </row>
    <row r="230" spans="1:9" x14ac:dyDescent="0.3">
      <c r="A230" s="46" t="s">
        <v>309</v>
      </c>
      <c r="B230" s="46">
        <v>28</v>
      </c>
      <c r="C230" s="46"/>
      <c r="D230" s="47">
        <f t="shared" si="6"/>
        <v>28</v>
      </c>
      <c r="E230" s="46"/>
      <c r="F230" s="46"/>
      <c r="G230" s="47">
        <f t="shared" si="8"/>
        <v>28</v>
      </c>
      <c r="H230" s="48">
        <v>600</v>
      </c>
      <c r="I230" s="35">
        <f t="shared" si="7"/>
        <v>16800</v>
      </c>
    </row>
    <row r="231" spans="1:9" x14ac:dyDescent="0.3">
      <c r="A231" s="46" t="s">
        <v>279</v>
      </c>
      <c r="B231" s="46"/>
      <c r="C231" s="46"/>
      <c r="D231" s="47">
        <f t="shared" si="6"/>
        <v>0</v>
      </c>
      <c r="E231" s="46"/>
      <c r="F231" s="46"/>
      <c r="G231" s="47">
        <f t="shared" si="8"/>
        <v>0</v>
      </c>
      <c r="H231" s="49">
        <v>150</v>
      </c>
      <c r="I231" s="35">
        <f t="shared" si="7"/>
        <v>0</v>
      </c>
    </row>
    <row r="232" spans="1:9" x14ac:dyDescent="0.3">
      <c r="A232" s="46" t="s">
        <v>310</v>
      </c>
      <c r="B232" s="46">
        <v>13</v>
      </c>
      <c r="C232" s="46"/>
      <c r="D232" s="47">
        <f t="shared" si="6"/>
        <v>13</v>
      </c>
      <c r="E232" s="46"/>
      <c r="F232" s="46"/>
      <c r="G232" s="47">
        <f t="shared" si="8"/>
        <v>13</v>
      </c>
      <c r="H232" s="49">
        <v>700</v>
      </c>
      <c r="I232" s="35">
        <f t="shared" si="7"/>
        <v>9100</v>
      </c>
    </row>
    <row r="233" spans="1:9" x14ac:dyDescent="0.3">
      <c r="A233" s="46" t="s">
        <v>311</v>
      </c>
      <c r="B233" s="46">
        <v>11</v>
      </c>
      <c r="C233" s="46"/>
      <c r="D233" s="47">
        <f t="shared" si="6"/>
        <v>11</v>
      </c>
      <c r="E233" s="46"/>
      <c r="F233" s="46"/>
      <c r="G233" s="47">
        <f t="shared" si="8"/>
        <v>11</v>
      </c>
      <c r="H233" s="49">
        <v>300</v>
      </c>
      <c r="I233" s="35">
        <f t="shared" si="7"/>
        <v>3300</v>
      </c>
    </row>
    <row r="234" spans="1:9" x14ac:dyDescent="0.3">
      <c r="A234" s="46" t="s">
        <v>312</v>
      </c>
      <c r="B234" s="46">
        <v>11</v>
      </c>
      <c r="C234" s="46"/>
      <c r="D234" s="47">
        <f t="shared" si="6"/>
        <v>11</v>
      </c>
      <c r="E234" s="46"/>
      <c r="F234" s="46"/>
      <c r="G234" s="47">
        <f t="shared" si="8"/>
        <v>11</v>
      </c>
      <c r="H234" s="48">
        <v>200</v>
      </c>
      <c r="I234" s="35">
        <f t="shared" si="7"/>
        <v>2200</v>
      </c>
    </row>
    <row r="235" spans="1:9" x14ac:dyDescent="0.3">
      <c r="A235" s="46" t="s">
        <v>197</v>
      </c>
      <c r="B235" s="46">
        <v>3</v>
      </c>
      <c r="C235" s="46"/>
      <c r="D235" s="47">
        <f t="shared" si="6"/>
        <v>3</v>
      </c>
      <c r="E235" s="46"/>
      <c r="F235" s="46"/>
      <c r="G235" s="47">
        <f t="shared" si="8"/>
        <v>3</v>
      </c>
      <c r="H235" s="50">
        <v>400</v>
      </c>
      <c r="I235" s="35">
        <f t="shared" si="7"/>
        <v>1200</v>
      </c>
    </row>
    <row r="236" spans="1:9" x14ac:dyDescent="0.3">
      <c r="A236" s="46" t="s">
        <v>242</v>
      </c>
      <c r="B236" s="46">
        <v>38</v>
      </c>
      <c r="C236" s="46"/>
      <c r="D236" s="47">
        <f t="shared" si="6"/>
        <v>38</v>
      </c>
      <c r="E236" s="46"/>
      <c r="F236" s="46"/>
      <c r="G236" s="47">
        <f t="shared" si="8"/>
        <v>38</v>
      </c>
      <c r="H236" s="49">
        <v>350</v>
      </c>
      <c r="I236" s="35">
        <f t="shared" si="7"/>
        <v>13300</v>
      </c>
    </row>
    <row r="237" spans="1:9" x14ac:dyDescent="0.3">
      <c r="A237" s="46" t="s">
        <v>135</v>
      </c>
      <c r="B237" s="46">
        <v>100</v>
      </c>
      <c r="C237" s="46"/>
      <c r="D237" s="47">
        <f t="shared" si="6"/>
        <v>100</v>
      </c>
      <c r="E237" s="46"/>
      <c r="F237" s="46"/>
      <c r="G237" s="47">
        <f t="shared" si="8"/>
        <v>100</v>
      </c>
      <c r="H237" s="49">
        <v>190</v>
      </c>
      <c r="I237" s="35">
        <f t="shared" si="7"/>
        <v>19000</v>
      </c>
    </row>
    <row r="238" spans="1:9" x14ac:dyDescent="0.3">
      <c r="A238" s="46"/>
      <c r="B238" s="46"/>
      <c r="C238" s="46"/>
      <c r="D238" s="47">
        <f t="shared" si="6"/>
        <v>0</v>
      </c>
      <c r="E238" s="46"/>
      <c r="F238" s="46"/>
      <c r="G238" s="47">
        <f t="shared" si="8"/>
        <v>0</v>
      </c>
      <c r="H238" s="49">
        <v>600</v>
      </c>
      <c r="I238" s="35">
        <f t="shared" si="7"/>
        <v>0</v>
      </c>
    </row>
    <row r="239" spans="1:9" x14ac:dyDescent="0.3">
      <c r="A239" s="46" t="s">
        <v>313</v>
      </c>
      <c r="B239" s="46"/>
      <c r="C239" s="46"/>
      <c r="D239" s="47">
        <f t="shared" si="6"/>
        <v>0</v>
      </c>
      <c r="E239" s="46"/>
      <c r="F239" s="46"/>
      <c r="G239" s="47">
        <f t="shared" si="8"/>
        <v>0</v>
      </c>
      <c r="H239" s="51">
        <v>500</v>
      </c>
      <c r="I239" s="35">
        <f t="shared" si="7"/>
        <v>0</v>
      </c>
    </row>
    <row r="240" spans="1:9" x14ac:dyDescent="0.3">
      <c r="A240" s="46" t="s">
        <v>314</v>
      </c>
      <c r="B240" s="46"/>
      <c r="C240" s="46"/>
      <c r="D240" s="47">
        <f t="shared" si="6"/>
        <v>0</v>
      </c>
      <c r="E240" s="46"/>
      <c r="F240" s="46"/>
      <c r="G240" s="47">
        <f t="shared" si="8"/>
        <v>0</v>
      </c>
      <c r="H240" s="51">
        <v>300</v>
      </c>
      <c r="I240" s="35">
        <f t="shared" si="7"/>
        <v>0</v>
      </c>
    </row>
    <row r="241" spans="1:9" x14ac:dyDescent="0.3">
      <c r="A241" s="46" t="s">
        <v>315</v>
      </c>
      <c r="B241" s="46"/>
      <c r="C241" s="46"/>
      <c r="D241" s="47">
        <f t="shared" si="6"/>
        <v>0</v>
      </c>
      <c r="E241" s="46"/>
      <c r="F241" s="46"/>
      <c r="G241" s="47">
        <f t="shared" si="8"/>
        <v>0</v>
      </c>
      <c r="H241" s="51">
        <v>100</v>
      </c>
      <c r="I241" s="35">
        <f t="shared" si="7"/>
        <v>0</v>
      </c>
    </row>
    <row r="242" spans="1:9" x14ac:dyDescent="0.3">
      <c r="A242" s="46" t="s">
        <v>316</v>
      </c>
      <c r="B242" s="46"/>
      <c r="C242" s="46"/>
      <c r="D242" s="47">
        <f t="shared" si="6"/>
        <v>0</v>
      </c>
      <c r="E242" s="46"/>
      <c r="F242" s="46"/>
      <c r="G242" s="47">
        <f t="shared" si="8"/>
        <v>0</v>
      </c>
      <c r="H242" s="51">
        <v>100</v>
      </c>
      <c r="I242" s="35"/>
    </row>
    <row r="243" spans="1:9" x14ac:dyDescent="0.3">
      <c r="A243" s="46" t="s">
        <v>317</v>
      </c>
      <c r="B243" s="46"/>
      <c r="C243" s="46"/>
      <c r="D243" s="47">
        <f t="shared" ref="D243:D330" si="9">B243+C243</f>
        <v>0</v>
      </c>
      <c r="E243" s="46"/>
      <c r="F243" s="46"/>
      <c r="G243" s="47">
        <f t="shared" si="8"/>
        <v>0</v>
      </c>
      <c r="H243" s="51">
        <v>300</v>
      </c>
      <c r="I243" s="35">
        <f t="shared" si="7"/>
        <v>0</v>
      </c>
    </row>
    <row r="244" spans="1:9" x14ac:dyDescent="0.3">
      <c r="A244" s="46" t="s">
        <v>318</v>
      </c>
      <c r="B244" s="46"/>
      <c r="C244" s="46"/>
      <c r="D244" s="47">
        <f t="shared" si="9"/>
        <v>0</v>
      </c>
      <c r="E244" s="46"/>
      <c r="F244" s="46"/>
      <c r="G244" s="47">
        <f t="shared" si="8"/>
        <v>0</v>
      </c>
      <c r="H244" s="51">
        <v>850</v>
      </c>
      <c r="I244" s="35">
        <f t="shared" si="7"/>
        <v>0</v>
      </c>
    </row>
    <row r="245" spans="1:9" x14ac:dyDescent="0.3">
      <c r="A245" s="46" t="s">
        <v>319</v>
      </c>
      <c r="B245" s="46"/>
      <c r="C245" s="46"/>
      <c r="D245" s="47">
        <f t="shared" si="9"/>
        <v>0</v>
      </c>
      <c r="E245" s="46"/>
      <c r="F245" s="46"/>
      <c r="G245" s="47">
        <f t="shared" si="8"/>
        <v>0</v>
      </c>
      <c r="H245" s="51">
        <v>3000</v>
      </c>
      <c r="I245" s="35">
        <f t="shared" si="7"/>
        <v>0</v>
      </c>
    </row>
    <row r="246" spans="1:9" x14ac:dyDescent="0.3">
      <c r="A246" s="46" t="s">
        <v>279</v>
      </c>
      <c r="B246" s="46"/>
      <c r="C246" s="46"/>
      <c r="D246" s="47">
        <f t="shared" si="9"/>
        <v>0</v>
      </c>
      <c r="E246" s="46"/>
      <c r="F246" s="46"/>
      <c r="G246" s="47">
        <f t="shared" si="8"/>
        <v>0</v>
      </c>
      <c r="H246" s="48">
        <v>300</v>
      </c>
      <c r="I246" s="35">
        <f t="shared" si="7"/>
        <v>0</v>
      </c>
    </row>
    <row r="247" spans="1:9" x14ac:dyDescent="0.3">
      <c r="A247" s="46" t="s">
        <v>320</v>
      </c>
      <c r="B247" s="46"/>
      <c r="C247" s="46"/>
      <c r="D247" s="47">
        <f t="shared" si="9"/>
        <v>0</v>
      </c>
      <c r="E247" s="46"/>
      <c r="F247" s="46"/>
      <c r="G247" s="47">
        <f t="shared" si="8"/>
        <v>0</v>
      </c>
      <c r="H247" s="48">
        <v>850</v>
      </c>
      <c r="I247" s="35">
        <f t="shared" si="7"/>
        <v>0</v>
      </c>
    </row>
    <row r="248" spans="1:9" x14ac:dyDescent="0.3">
      <c r="A248" s="46" t="s">
        <v>321</v>
      </c>
      <c r="B248" s="46"/>
      <c r="C248" s="46"/>
      <c r="D248" s="47">
        <f t="shared" si="9"/>
        <v>0</v>
      </c>
      <c r="E248" s="46"/>
      <c r="F248" s="46"/>
      <c r="G248" s="47">
        <f t="shared" si="8"/>
        <v>0</v>
      </c>
      <c r="H248" s="48">
        <v>650</v>
      </c>
      <c r="I248" s="35">
        <f t="shared" si="7"/>
        <v>0</v>
      </c>
    </row>
    <row r="249" spans="1:9" x14ac:dyDescent="0.3">
      <c r="A249" s="46" t="s">
        <v>322</v>
      </c>
      <c r="B249" s="46"/>
      <c r="C249" s="46"/>
      <c r="D249" s="47">
        <f>B249+C249</f>
        <v>0</v>
      </c>
      <c r="E249" s="46"/>
      <c r="F249" s="46"/>
      <c r="G249" s="47">
        <f t="shared" si="8"/>
        <v>0</v>
      </c>
      <c r="H249" s="48">
        <v>1100</v>
      </c>
      <c r="I249" s="35">
        <f t="shared" si="7"/>
        <v>0</v>
      </c>
    </row>
    <row r="250" spans="1:9" x14ac:dyDescent="0.3">
      <c r="A250" s="46" t="s">
        <v>323</v>
      </c>
      <c r="B250" s="46"/>
      <c r="C250" s="46"/>
      <c r="D250" s="47">
        <f t="shared" si="9"/>
        <v>0</v>
      </c>
      <c r="E250" s="46"/>
      <c r="F250" s="46"/>
      <c r="G250" s="47">
        <f t="shared" si="8"/>
        <v>0</v>
      </c>
      <c r="H250" s="48">
        <v>600</v>
      </c>
      <c r="I250" s="35">
        <f t="shared" si="7"/>
        <v>0</v>
      </c>
    </row>
    <row r="251" spans="1:9" x14ac:dyDescent="0.3">
      <c r="A251" s="46" t="s">
        <v>324</v>
      </c>
      <c r="B251" s="46">
        <v>24</v>
      </c>
      <c r="C251" s="46"/>
      <c r="D251" s="47">
        <f t="shared" si="9"/>
        <v>24</v>
      </c>
      <c r="E251" s="46"/>
      <c r="F251" s="46"/>
      <c r="G251" s="47">
        <f t="shared" si="8"/>
        <v>24</v>
      </c>
      <c r="H251" s="48">
        <v>1400</v>
      </c>
      <c r="I251" s="35">
        <f t="shared" si="7"/>
        <v>33600</v>
      </c>
    </row>
    <row r="252" spans="1:9" x14ac:dyDescent="0.3">
      <c r="A252" s="46" t="s">
        <v>325</v>
      </c>
      <c r="B252" s="46">
        <v>20</v>
      </c>
      <c r="C252" s="46"/>
      <c r="D252" s="47">
        <f t="shared" si="9"/>
        <v>20</v>
      </c>
      <c r="E252" s="46"/>
      <c r="F252" s="46"/>
      <c r="G252" s="47">
        <f t="shared" si="8"/>
        <v>20</v>
      </c>
      <c r="H252" s="48">
        <v>800</v>
      </c>
      <c r="I252" s="35">
        <f t="shared" si="7"/>
        <v>16000</v>
      </c>
    </row>
    <row r="253" spans="1:9" x14ac:dyDescent="0.3">
      <c r="A253" s="46" t="s">
        <v>120</v>
      </c>
      <c r="B253" s="46">
        <v>2</v>
      </c>
      <c r="C253" s="46"/>
      <c r="D253" s="47">
        <f t="shared" si="9"/>
        <v>2</v>
      </c>
      <c r="E253" s="46"/>
      <c r="F253" s="46"/>
      <c r="G253" s="47">
        <f t="shared" si="8"/>
        <v>2</v>
      </c>
      <c r="H253" s="48">
        <v>750</v>
      </c>
      <c r="I253" s="35">
        <f t="shared" si="7"/>
        <v>1500</v>
      </c>
    </row>
    <row r="254" spans="1:9" x14ac:dyDescent="0.3">
      <c r="A254" s="46" t="s">
        <v>326</v>
      </c>
      <c r="B254" s="46"/>
      <c r="C254" s="46"/>
      <c r="D254" s="47">
        <f t="shared" si="9"/>
        <v>0</v>
      </c>
      <c r="E254" s="46"/>
      <c r="F254" s="46"/>
      <c r="G254" s="47"/>
      <c r="H254" s="48">
        <v>1300</v>
      </c>
      <c r="I254" s="35">
        <f t="shared" si="7"/>
        <v>0</v>
      </c>
    </row>
    <row r="255" spans="1:9" x14ac:dyDescent="0.3">
      <c r="A255" s="46" t="s">
        <v>327</v>
      </c>
      <c r="B255" s="46">
        <v>12</v>
      </c>
      <c r="C255" s="46"/>
      <c r="D255" s="47">
        <f t="shared" si="9"/>
        <v>12</v>
      </c>
      <c r="E255" s="46"/>
      <c r="F255" s="46"/>
      <c r="G255" s="47">
        <f t="shared" si="8"/>
        <v>12</v>
      </c>
      <c r="H255" s="48">
        <v>850</v>
      </c>
      <c r="I255" s="35">
        <f t="shared" si="7"/>
        <v>10200</v>
      </c>
    </row>
    <row r="256" spans="1:9" x14ac:dyDescent="0.3">
      <c r="A256" s="46" t="s">
        <v>328</v>
      </c>
      <c r="B256" s="46"/>
      <c r="C256" s="46"/>
      <c r="D256" s="47">
        <f t="shared" si="9"/>
        <v>0</v>
      </c>
      <c r="E256" s="46"/>
      <c r="F256" s="46"/>
      <c r="G256" s="47">
        <f t="shared" si="8"/>
        <v>0</v>
      </c>
      <c r="H256" s="48">
        <v>520</v>
      </c>
      <c r="I256" s="35">
        <f t="shared" si="7"/>
        <v>0</v>
      </c>
    </row>
    <row r="257" spans="1:9" x14ac:dyDescent="0.3">
      <c r="A257" s="46" t="s">
        <v>275</v>
      </c>
      <c r="B257" s="46"/>
      <c r="C257" s="46"/>
      <c r="D257" s="47">
        <f t="shared" si="9"/>
        <v>0</v>
      </c>
      <c r="E257" s="46"/>
      <c r="F257" s="46"/>
      <c r="G257" s="47">
        <f t="shared" si="8"/>
        <v>0</v>
      </c>
      <c r="H257" s="48">
        <v>500</v>
      </c>
      <c r="I257" s="35">
        <f t="shared" si="7"/>
        <v>0</v>
      </c>
    </row>
    <row r="258" spans="1:9" x14ac:dyDescent="0.3">
      <c r="A258" s="46" t="s">
        <v>275</v>
      </c>
      <c r="B258" s="46"/>
      <c r="C258" s="46"/>
      <c r="D258" s="47">
        <f t="shared" si="9"/>
        <v>0</v>
      </c>
      <c r="E258" s="46"/>
      <c r="F258" s="46"/>
      <c r="G258" s="47">
        <f t="shared" si="8"/>
        <v>0</v>
      </c>
      <c r="H258" s="48">
        <v>800</v>
      </c>
      <c r="I258" s="35">
        <f t="shared" si="7"/>
        <v>0</v>
      </c>
    </row>
    <row r="259" spans="1:9" x14ac:dyDescent="0.3">
      <c r="A259" s="46" t="s">
        <v>329</v>
      </c>
      <c r="B259" s="46"/>
      <c r="C259" s="46"/>
      <c r="D259" s="47">
        <f t="shared" si="9"/>
        <v>0</v>
      </c>
      <c r="E259" s="46"/>
      <c r="F259" s="46"/>
      <c r="G259" s="47">
        <f t="shared" si="8"/>
        <v>0</v>
      </c>
      <c r="H259" s="48">
        <v>550</v>
      </c>
      <c r="I259" s="35">
        <f t="shared" si="7"/>
        <v>0</v>
      </c>
    </row>
    <row r="260" spans="1:9" x14ac:dyDescent="0.3">
      <c r="A260" s="46" t="s">
        <v>330</v>
      </c>
      <c r="B260" s="46"/>
      <c r="C260" s="46"/>
      <c r="D260" s="47">
        <f t="shared" si="9"/>
        <v>0</v>
      </c>
      <c r="E260" s="46"/>
      <c r="F260" s="46"/>
      <c r="G260" s="47">
        <f t="shared" si="8"/>
        <v>0</v>
      </c>
      <c r="H260" s="48">
        <v>350</v>
      </c>
      <c r="I260" s="35">
        <f t="shared" si="7"/>
        <v>0</v>
      </c>
    </row>
    <row r="261" spans="1:9" x14ac:dyDescent="0.3">
      <c r="A261" s="46" t="s">
        <v>331</v>
      </c>
      <c r="B261" s="46"/>
      <c r="C261" s="46"/>
      <c r="D261" s="47">
        <f t="shared" si="9"/>
        <v>0</v>
      </c>
      <c r="E261" s="46"/>
      <c r="F261" s="46"/>
      <c r="G261" s="47">
        <f t="shared" si="8"/>
        <v>0</v>
      </c>
      <c r="H261" s="48">
        <v>400</v>
      </c>
      <c r="I261" s="35">
        <f t="shared" si="7"/>
        <v>0</v>
      </c>
    </row>
    <row r="262" spans="1:9" x14ac:dyDescent="0.3">
      <c r="A262" s="42" t="s">
        <v>332</v>
      </c>
      <c r="B262" s="46"/>
      <c r="C262" s="46"/>
      <c r="D262" s="47">
        <f t="shared" si="9"/>
        <v>0</v>
      </c>
      <c r="E262" s="46"/>
      <c r="F262" s="46"/>
      <c r="G262" s="47">
        <f t="shared" si="8"/>
        <v>0</v>
      </c>
      <c r="H262" s="48"/>
      <c r="I262" s="35">
        <f t="shared" si="7"/>
        <v>0</v>
      </c>
    </row>
    <row r="263" spans="1:9" x14ac:dyDescent="0.3">
      <c r="A263" s="46" t="s">
        <v>333</v>
      </c>
      <c r="B263" s="46">
        <v>14</v>
      </c>
      <c r="C263" s="46"/>
      <c r="D263" s="47">
        <f t="shared" si="9"/>
        <v>14</v>
      </c>
      <c r="E263" s="46"/>
      <c r="F263" s="46"/>
      <c r="G263" s="47">
        <f t="shared" si="8"/>
        <v>14</v>
      </c>
      <c r="H263" s="48">
        <v>800</v>
      </c>
      <c r="I263" s="35">
        <f t="shared" si="7"/>
        <v>11200</v>
      </c>
    </row>
    <row r="264" spans="1:9" x14ac:dyDescent="0.3">
      <c r="A264" s="46" t="s">
        <v>334</v>
      </c>
      <c r="B264" s="46">
        <v>1</v>
      </c>
      <c r="C264" s="46"/>
      <c r="D264" s="47">
        <f t="shared" si="9"/>
        <v>1</v>
      </c>
      <c r="E264" s="46"/>
      <c r="F264" s="46"/>
      <c r="G264" s="47">
        <f t="shared" si="8"/>
        <v>1</v>
      </c>
      <c r="H264" s="48">
        <v>800</v>
      </c>
      <c r="I264" s="35">
        <f t="shared" si="7"/>
        <v>800</v>
      </c>
    </row>
    <row r="265" spans="1:9" x14ac:dyDescent="0.3">
      <c r="A265" s="46" t="s">
        <v>335</v>
      </c>
      <c r="B265" s="46">
        <v>3</v>
      </c>
      <c r="C265" s="46"/>
      <c r="D265" s="47">
        <f t="shared" si="9"/>
        <v>3</v>
      </c>
      <c r="E265" s="46"/>
      <c r="F265" s="46"/>
      <c r="G265" s="47">
        <f t="shared" si="8"/>
        <v>3</v>
      </c>
      <c r="H265" s="48">
        <v>800</v>
      </c>
      <c r="I265" s="35">
        <f t="shared" si="7"/>
        <v>2400</v>
      </c>
    </row>
    <row r="266" spans="1:9" x14ac:dyDescent="0.3">
      <c r="A266" s="46" t="s">
        <v>336</v>
      </c>
      <c r="B266" s="46">
        <v>42</v>
      </c>
      <c r="C266" s="46"/>
      <c r="D266" s="47">
        <f t="shared" si="9"/>
        <v>42</v>
      </c>
      <c r="E266" s="46"/>
      <c r="F266" s="46"/>
      <c r="G266" s="47">
        <f t="shared" si="8"/>
        <v>42</v>
      </c>
      <c r="H266" s="49">
        <v>700</v>
      </c>
      <c r="I266" s="35">
        <f t="shared" si="7"/>
        <v>29400</v>
      </c>
    </row>
    <row r="267" spans="1:9" x14ac:dyDescent="0.3">
      <c r="A267" s="46" t="s">
        <v>337</v>
      </c>
      <c r="B267" s="46">
        <v>7</v>
      </c>
      <c r="C267" s="46"/>
      <c r="D267" s="47">
        <f t="shared" si="9"/>
        <v>7</v>
      </c>
      <c r="E267" s="46"/>
      <c r="F267" s="46"/>
      <c r="G267" s="47">
        <f t="shared" si="8"/>
        <v>7</v>
      </c>
      <c r="H267" s="49">
        <v>700</v>
      </c>
      <c r="I267" s="35">
        <f t="shared" si="7"/>
        <v>4900</v>
      </c>
    </row>
    <row r="268" spans="1:9" x14ac:dyDescent="0.3">
      <c r="A268" s="46" t="s">
        <v>338</v>
      </c>
      <c r="B268" s="46">
        <v>20</v>
      </c>
      <c r="C268" s="46"/>
      <c r="D268" s="47">
        <f t="shared" si="9"/>
        <v>20</v>
      </c>
      <c r="E268" s="46"/>
      <c r="F268" s="46"/>
      <c r="G268" s="47">
        <f t="shared" si="8"/>
        <v>20</v>
      </c>
      <c r="H268" s="49">
        <v>700</v>
      </c>
      <c r="I268" s="35">
        <f t="shared" si="7"/>
        <v>14000</v>
      </c>
    </row>
    <row r="269" spans="1:9" x14ac:dyDescent="0.3">
      <c r="A269" s="46" t="s">
        <v>339</v>
      </c>
      <c r="B269" s="46">
        <v>15</v>
      </c>
      <c r="C269" s="46"/>
      <c r="D269" s="47">
        <f t="shared" si="9"/>
        <v>15</v>
      </c>
      <c r="E269" s="46"/>
      <c r="F269" s="46"/>
      <c r="G269" s="47">
        <f t="shared" si="8"/>
        <v>15</v>
      </c>
      <c r="H269" s="49">
        <v>400</v>
      </c>
      <c r="I269" s="35">
        <f t="shared" si="7"/>
        <v>6000</v>
      </c>
    </row>
    <row r="270" spans="1:9" x14ac:dyDescent="0.3">
      <c r="A270" s="46" t="s">
        <v>340</v>
      </c>
      <c r="B270" s="46">
        <v>21</v>
      </c>
      <c r="C270" s="46"/>
      <c r="D270" s="47">
        <f t="shared" si="9"/>
        <v>21</v>
      </c>
      <c r="E270" s="46"/>
      <c r="F270" s="46"/>
      <c r="G270" s="47">
        <f t="shared" si="8"/>
        <v>21</v>
      </c>
      <c r="H270" s="49">
        <v>400</v>
      </c>
      <c r="I270" s="35">
        <f t="shared" si="7"/>
        <v>8400</v>
      </c>
    </row>
    <row r="271" spans="1:9" x14ac:dyDescent="0.3">
      <c r="A271" s="46" t="s">
        <v>341</v>
      </c>
      <c r="B271" s="46">
        <v>10</v>
      </c>
      <c r="C271" s="46"/>
      <c r="D271" s="47">
        <f t="shared" si="9"/>
        <v>10</v>
      </c>
      <c r="E271" s="46"/>
      <c r="F271" s="46"/>
      <c r="G271" s="47">
        <f t="shared" si="8"/>
        <v>10</v>
      </c>
      <c r="H271" s="48">
        <v>600</v>
      </c>
      <c r="I271" s="35">
        <f t="shared" si="7"/>
        <v>6000</v>
      </c>
    </row>
    <row r="272" spans="1:9" x14ac:dyDescent="0.3">
      <c r="A272" s="46" t="s">
        <v>342</v>
      </c>
      <c r="B272" s="46">
        <v>5</v>
      </c>
      <c r="C272" s="46"/>
      <c r="D272" s="47">
        <f t="shared" si="9"/>
        <v>5</v>
      </c>
      <c r="E272" s="46"/>
      <c r="F272" s="46"/>
      <c r="G272" s="47">
        <f t="shared" si="8"/>
        <v>5</v>
      </c>
      <c r="H272" s="48">
        <v>740</v>
      </c>
      <c r="I272" s="35">
        <f t="shared" si="7"/>
        <v>3700</v>
      </c>
    </row>
    <row r="273" spans="1:9" x14ac:dyDescent="0.3">
      <c r="A273" s="46" t="s">
        <v>343</v>
      </c>
      <c r="B273" s="46">
        <v>21</v>
      </c>
      <c r="C273" s="46"/>
      <c r="D273" s="47">
        <f t="shared" si="9"/>
        <v>21</v>
      </c>
      <c r="E273" s="46"/>
      <c r="F273" s="46"/>
      <c r="G273" s="47">
        <f t="shared" si="8"/>
        <v>21</v>
      </c>
      <c r="H273" s="48">
        <v>700</v>
      </c>
      <c r="I273" s="35">
        <f t="shared" si="7"/>
        <v>14700</v>
      </c>
    </row>
    <row r="274" spans="1:9" x14ac:dyDescent="0.3">
      <c r="A274" s="46" t="s">
        <v>344</v>
      </c>
      <c r="B274" s="46">
        <v>13</v>
      </c>
      <c r="C274" s="46"/>
      <c r="D274" s="47">
        <f t="shared" si="9"/>
        <v>13</v>
      </c>
      <c r="E274" s="46"/>
      <c r="F274" s="46"/>
      <c r="G274" s="47">
        <f t="shared" si="8"/>
        <v>13</v>
      </c>
      <c r="H274" s="48">
        <v>700</v>
      </c>
      <c r="I274" s="35">
        <f t="shared" si="7"/>
        <v>9100</v>
      </c>
    </row>
    <row r="275" spans="1:9" x14ac:dyDescent="0.3">
      <c r="A275" s="46" t="s">
        <v>345</v>
      </c>
      <c r="B275" s="46">
        <v>10</v>
      </c>
      <c r="C275" s="46"/>
      <c r="D275" s="47">
        <f t="shared" si="9"/>
        <v>10</v>
      </c>
      <c r="E275" s="46"/>
      <c r="F275" s="46"/>
      <c r="G275" s="47">
        <f t="shared" si="8"/>
        <v>10</v>
      </c>
      <c r="H275" s="48">
        <v>250</v>
      </c>
      <c r="I275" s="35">
        <f t="shared" si="7"/>
        <v>2500</v>
      </c>
    </row>
    <row r="276" spans="1:9" x14ac:dyDescent="0.3">
      <c r="A276" s="46" t="s">
        <v>346</v>
      </c>
      <c r="B276" s="46">
        <v>1</v>
      </c>
      <c r="C276" s="46"/>
      <c r="D276" s="47">
        <f t="shared" si="9"/>
        <v>1</v>
      </c>
      <c r="E276" s="46"/>
      <c r="F276" s="46"/>
      <c r="G276" s="47">
        <f t="shared" si="8"/>
        <v>1</v>
      </c>
      <c r="H276" s="48">
        <v>600</v>
      </c>
      <c r="I276" s="35">
        <f t="shared" si="7"/>
        <v>600</v>
      </c>
    </row>
    <row r="277" spans="1:9" x14ac:dyDescent="0.3">
      <c r="A277" s="46" t="s">
        <v>347</v>
      </c>
      <c r="B277" s="46"/>
      <c r="C277" s="46"/>
      <c r="D277" s="47">
        <f t="shared" si="9"/>
        <v>0</v>
      </c>
      <c r="E277" s="46"/>
      <c r="F277" s="46"/>
      <c r="G277" s="47">
        <f t="shared" si="8"/>
        <v>0</v>
      </c>
      <c r="H277" s="48">
        <v>20000</v>
      </c>
      <c r="I277" s="35">
        <f t="shared" si="7"/>
        <v>0</v>
      </c>
    </row>
    <row r="278" spans="1:9" x14ac:dyDescent="0.3">
      <c r="A278" s="46"/>
      <c r="B278" s="46"/>
      <c r="C278" s="46"/>
      <c r="D278" s="47"/>
      <c r="E278" s="46"/>
      <c r="F278" s="46"/>
      <c r="G278" s="47"/>
      <c r="H278" s="48"/>
      <c r="I278" s="35"/>
    </row>
    <row r="279" spans="1:9" x14ac:dyDescent="0.3">
      <c r="A279" s="42" t="s">
        <v>348</v>
      </c>
      <c r="B279" s="46"/>
      <c r="C279" s="46"/>
      <c r="D279" s="47"/>
      <c r="E279" s="46"/>
      <c r="F279" s="46"/>
      <c r="G279" s="47">
        <f t="shared" si="8"/>
        <v>0</v>
      </c>
      <c r="H279" s="48">
        <v>6000</v>
      </c>
      <c r="I279" s="35">
        <f t="shared" si="7"/>
        <v>0</v>
      </c>
    </row>
    <row r="280" spans="1:9" x14ac:dyDescent="0.3">
      <c r="A280" s="46" t="s">
        <v>349</v>
      </c>
      <c r="B280" s="46"/>
      <c r="C280" s="46"/>
      <c r="D280" s="47">
        <f t="shared" si="9"/>
        <v>0</v>
      </c>
      <c r="E280" s="46"/>
      <c r="F280" s="46"/>
      <c r="G280" s="47">
        <f t="shared" si="8"/>
        <v>0</v>
      </c>
      <c r="H280" s="48">
        <v>280</v>
      </c>
      <c r="I280" s="35">
        <f t="shared" si="7"/>
        <v>0</v>
      </c>
    </row>
    <row r="281" spans="1:9" x14ac:dyDescent="0.3">
      <c r="A281" s="46" t="s">
        <v>350</v>
      </c>
      <c r="B281" s="46"/>
      <c r="C281" s="46"/>
      <c r="D281" s="47">
        <f t="shared" si="9"/>
        <v>0</v>
      </c>
      <c r="E281" s="46"/>
      <c r="F281" s="46"/>
      <c r="G281" s="47">
        <f t="shared" si="8"/>
        <v>0</v>
      </c>
      <c r="H281" s="48">
        <v>2200</v>
      </c>
      <c r="I281" s="35">
        <f t="shared" si="7"/>
        <v>0</v>
      </c>
    </row>
    <row r="282" spans="1:9" x14ac:dyDescent="0.3">
      <c r="A282" s="46" t="s">
        <v>351</v>
      </c>
      <c r="B282" s="46"/>
      <c r="C282" s="46"/>
      <c r="D282" s="47">
        <f t="shared" si="9"/>
        <v>0</v>
      </c>
      <c r="E282" s="46"/>
      <c r="F282" s="46"/>
      <c r="G282" s="47">
        <f t="shared" si="8"/>
        <v>0</v>
      </c>
      <c r="H282" s="48">
        <v>1500</v>
      </c>
      <c r="I282" s="35">
        <f t="shared" si="7"/>
        <v>0</v>
      </c>
    </row>
    <row r="283" spans="1:9" x14ac:dyDescent="0.3">
      <c r="A283" s="46" t="s">
        <v>352</v>
      </c>
      <c r="B283" s="46"/>
      <c r="C283" s="46"/>
      <c r="D283" s="47">
        <f t="shared" si="9"/>
        <v>0</v>
      </c>
      <c r="E283" s="46"/>
      <c r="F283" s="46"/>
      <c r="G283" s="47">
        <f t="shared" si="8"/>
        <v>0</v>
      </c>
      <c r="H283" s="48"/>
      <c r="I283" s="35">
        <f t="shared" si="7"/>
        <v>0</v>
      </c>
    </row>
    <row r="284" spans="1:9" x14ac:dyDescent="0.3">
      <c r="A284" s="46" t="s">
        <v>353</v>
      </c>
      <c r="B284" s="46"/>
      <c r="C284" s="46"/>
      <c r="D284" s="47">
        <f t="shared" si="9"/>
        <v>0</v>
      </c>
      <c r="E284" s="46"/>
      <c r="F284" s="46"/>
      <c r="G284" s="47">
        <f t="shared" si="8"/>
        <v>0</v>
      </c>
      <c r="H284" s="48">
        <v>1000</v>
      </c>
      <c r="I284" s="35">
        <f t="shared" si="7"/>
        <v>0</v>
      </c>
    </row>
    <row r="285" spans="1:9" x14ac:dyDescent="0.3">
      <c r="A285" s="46" t="s">
        <v>354</v>
      </c>
      <c r="B285" s="46"/>
      <c r="C285" s="46"/>
      <c r="D285" s="47">
        <f t="shared" si="9"/>
        <v>0</v>
      </c>
      <c r="E285" s="46"/>
      <c r="F285" s="46"/>
      <c r="G285" s="47">
        <f t="shared" si="8"/>
        <v>0</v>
      </c>
      <c r="H285" s="48"/>
      <c r="I285" s="35">
        <f t="shared" si="7"/>
        <v>0</v>
      </c>
    </row>
    <row r="286" spans="1:9" x14ac:dyDescent="0.3">
      <c r="A286" s="46" t="s">
        <v>355</v>
      </c>
      <c r="B286" s="46"/>
      <c r="C286" s="46"/>
      <c r="D286" s="47">
        <f t="shared" si="9"/>
        <v>0</v>
      </c>
      <c r="E286" s="46"/>
      <c r="F286" s="46"/>
      <c r="G286" s="47">
        <f t="shared" si="8"/>
        <v>0</v>
      </c>
      <c r="H286" s="48">
        <v>200</v>
      </c>
      <c r="I286" s="35">
        <f t="shared" si="7"/>
        <v>0</v>
      </c>
    </row>
    <row r="287" spans="1:9" x14ac:dyDescent="0.3">
      <c r="A287" s="46" t="s">
        <v>356</v>
      </c>
      <c r="B287" s="46"/>
      <c r="C287" s="46"/>
      <c r="D287" s="47">
        <f t="shared" si="9"/>
        <v>0</v>
      </c>
      <c r="E287" s="46"/>
      <c r="F287" s="46"/>
      <c r="G287" s="47">
        <f t="shared" si="8"/>
        <v>0</v>
      </c>
      <c r="H287" s="48">
        <v>6500</v>
      </c>
      <c r="I287" s="35">
        <f t="shared" si="7"/>
        <v>0</v>
      </c>
    </row>
    <row r="288" spans="1:9" x14ac:dyDescent="0.3">
      <c r="A288" s="46" t="s">
        <v>357</v>
      </c>
      <c r="B288" s="46"/>
      <c r="C288" s="46"/>
      <c r="D288" s="47">
        <f t="shared" si="9"/>
        <v>0</v>
      </c>
      <c r="E288" s="46"/>
      <c r="F288" s="46"/>
      <c r="G288" s="47">
        <f t="shared" si="8"/>
        <v>0</v>
      </c>
      <c r="H288" s="48">
        <v>2000</v>
      </c>
      <c r="I288" s="35">
        <f t="shared" si="7"/>
        <v>0</v>
      </c>
    </row>
    <row r="289" spans="1:9" x14ac:dyDescent="0.3">
      <c r="A289" s="46" t="s">
        <v>358</v>
      </c>
      <c r="B289" s="46"/>
      <c r="C289" s="46"/>
      <c r="D289" s="47">
        <f t="shared" si="9"/>
        <v>0</v>
      </c>
      <c r="E289" s="46"/>
      <c r="F289" s="46"/>
      <c r="G289" s="47">
        <f t="shared" si="8"/>
        <v>0</v>
      </c>
      <c r="H289" s="48">
        <v>700</v>
      </c>
      <c r="I289" s="35">
        <f t="shared" si="7"/>
        <v>0</v>
      </c>
    </row>
    <row r="290" spans="1:9" x14ac:dyDescent="0.3">
      <c r="A290" s="46" t="s">
        <v>359</v>
      </c>
      <c r="B290" s="46"/>
      <c r="C290" s="46"/>
      <c r="D290" s="47">
        <f t="shared" si="9"/>
        <v>0</v>
      </c>
      <c r="E290" s="46"/>
      <c r="F290" s="46"/>
      <c r="G290" s="47">
        <f t="shared" si="8"/>
        <v>0</v>
      </c>
      <c r="H290" s="48">
        <v>6000</v>
      </c>
      <c r="I290" s="35">
        <f t="shared" si="7"/>
        <v>0</v>
      </c>
    </row>
    <row r="291" spans="1:9" x14ac:dyDescent="0.3">
      <c r="A291" s="46" t="s">
        <v>360</v>
      </c>
      <c r="B291" s="46"/>
      <c r="C291" s="46"/>
      <c r="D291" s="47">
        <f t="shared" si="9"/>
        <v>0</v>
      </c>
      <c r="E291" s="46"/>
      <c r="F291" s="46"/>
      <c r="G291" s="47">
        <f t="shared" si="8"/>
        <v>0</v>
      </c>
      <c r="H291" s="48">
        <v>65</v>
      </c>
      <c r="I291" s="35">
        <f t="shared" si="7"/>
        <v>0</v>
      </c>
    </row>
    <row r="292" spans="1:9" x14ac:dyDescent="0.3">
      <c r="A292" s="46" t="s">
        <v>361</v>
      </c>
      <c r="B292" s="46"/>
      <c r="C292" s="46"/>
      <c r="D292" s="47">
        <f t="shared" si="9"/>
        <v>0</v>
      </c>
      <c r="E292" s="46"/>
      <c r="F292" s="46"/>
      <c r="G292" s="47">
        <f t="shared" si="8"/>
        <v>0</v>
      </c>
      <c r="H292" s="48">
        <v>38000</v>
      </c>
      <c r="I292" s="35">
        <f t="shared" ref="I292:I375" si="10">G292*H292</f>
        <v>0</v>
      </c>
    </row>
    <row r="293" spans="1:9" x14ac:dyDescent="0.3">
      <c r="A293" s="46" t="s">
        <v>362</v>
      </c>
      <c r="B293" s="46"/>
      <c r="C293" s="46"/>
      <c r="D293" s="47">
        <f t="shared" si="9"/>
        <v>0</v>
      </c>
      <c r="E293" s="46"/>
      <c r="F293" s="46"/>
      <c r="G293" s="47">
        <f t="shared" si="8"/>
        <v>0</v>
      </c>
      <c r="H293" s="48">
        <v>800</v>
      </c>
      <c r="I293" s="35">
        <f t="shared" si="10"/>
        <v>0</v>
      </c>
    </row>
    <row r="294" spans="1:9" x14ac:dyDescent="0.3">
      <c r="A294" s="46" t="s">
        <v>363</v>
      </c>
      <c r="B294" s="46"/>
      <c r="C294" s="46"/>
      <c r="D294" s="47">
        <f t="shared" si="9"/>
        <v>0</v>
      </c>
      <c r="E294" s="46"/>
      <c r="F294" s="46"/>
      <c r="G294" s="47">
        <f t="shared" si="8"/>
        <v>0</v>
      </c>
      <c r="H294" s="48">
        <v>220</v>
      </c>
      <c r="I294" s="35">
        <f t="shared" si="10"/>
        <v>0</v>
      </c>
    </row>
    <row r="295" spans="1:9" x14ac:dyDescent="0.3">
      <c r="A295" s="46" t="s">
        <v>364</v>
      </c>
      <c r="B295" s="46"/>
      <c r="C295" s="46"/>
      <c r="D295" s="47">
        <f t="shared" si="9"/>
        <v>0</v>
      </c>
      <c r="E295" s="46"/>
      <c r="F295" s="46"/>
      <c r="G295" s="47">
        <f t="shared" si="8"/>
        <v>0</v>
      </c>
      <c r="H295" s="48">
        <v>1900</v>
      </c>
      <c r="I295" s="35">
        <f t="shared" si="10"/>
        <v>0</v>
      </c>
    </row>
    <row r="296" spans="1:9" x14ac:dyDescent="0.3">
      <c r="A296" s="46" t="s">
        <v>365</v>
      </c>
      <c r="B296" s="46"/>
      <c r="C296" s="46"/>
      <c r="D296" s="47">
        <f t="shared" si="9"/>
        <v>0</v>
      </c>
      <c r="E296" s="46"/>
      <c r="F296" s="46"/>
      <c r="G296" s="47">
        <f t="shared" si="8"/>
        <v>0</v>
      </c>
      <c r="H296" s="48">
        <v>3000</v>
      </c>
      <c r="I296" s="35">
        <f t="shared" si="10"/>
        <v>0</v>
      </c>
    </row>
    <row r="297" spans="1:9" x14ac:dyDescent="0.3">
      <c r="A297" s="46" t="s">
        <v>366</v>
      </c>
      <c r="B297" s="46"/>
      <c r="C297" s="46"/>
      <c r="D297" s="47">
        <f t="shared" si="9"/>
        <v>0</v>
      </c>
      <c r="E297" s="46"/>
      <c r="F297" s="46"/>
      <c r="G297" s="47">
        <f t="shared" si="8"/>
        <v>0</v>
      </c>
      <c r="H297" s="48">
        <v>3000</v>
      </c>
      <c r="I297" s="35">
        <f t="shared" si="10"/>
        <v>0</v>
      </c>
    </row>
    <row r="298" spans="1:9" x14ac:dyDescent="0.3">
      <c r="A298" s="46" t="s">
        <v>367</v>
      </c>
      <c r="B298" s="46"/>
      <c r="C298" s="46"/>
      <c r="D298" s="47">
        <f t="shared" si="9"/>
        <v>0</v>
      </c>
      <c r="E298" s="46"/>
      <c r="F298" s="46"/>
      <c r="G298" s="47">
        <f t="shared" si="8"/>
        <v>0</v>
      </c>
      <c r="H298" s="48">
        <v>3000</v>
      </c>
      <c r="I298" s="35">
        <f t="shared" si="10"/>
        <v>0</v>
      </c>
    </row>
    <row r="299" spans="1:9" x14ac:dyDescent="0.3">
      <c r="A299" s="46" t="s">
        <v>368</v>
      </c>
      <c r="B299" s="46"/>
      <c r="C299" s="46"/>
      <c r="D299" s="47">
        <f t="shared" si="9"/>
        <v>0</v>
      </c>
      <c r="E299" s="46"/>
      <c r="F299" s="46"/>
      <c r="G299" s="47">
        <f t="shared" si="8"/>
        <v>0</v>
      </c>
      <c r="H299" s="48">
        <v>4000</v>
      </c>
      <c r="I299" s="35">
        <f t="shared" si="10"/>
        <v>0</v>
      </c>
    </row>
    <row r="300" spans="1:9" x14ac:dyDescent="0.3">
      <c r="A300" s="46" t="s">
        <v>369</v>
      </c>
      <c r="B300" s="46"/>
      <c r="C300" s="46"/>
      <c r="D300" s="47">
        <f t="shared" si="9"/>
        <v>0</v>
      </c>
      <c r="E300" s="46"/>
      <c r="F300" s="46"/>
      <c r="G300" s="47">
        <f t="shared" si="8"/>
        <v>0</v>
      </c>
      <c r="H300" s="48">
        <v>13000</v>
      </c>
      <c r="I300" s="35">
        <f t="shared" si="10"/>
        <v>0</v>
      </c>
    </row>
    <row r="301" spans="1:9" x14ac:dyDescent="0.3">
      <c r="A301" s="46" t="s">
        <v>370</v>
      </c>
      <c r="B301" s="46"/>
      <c r="C301" s="46"/>
      <c r="D301" s="47">
        <f t="shared" si="9"/>
        <v>0</v>
      </c>
      <c r="E301" s="46"/>
      <c r="F301" s="46"/>
      <c r="G301" s="47">
        <f t="shared" si="8"/>
        <v>0</v>
      </c>
      <c r="H301" s="48">
        <v>2000</v>
      </c>
      <c r="I301" s="35">
        <f t="shared" si="10"/>
        <v>0</v>
      </c>
    </row>
    <row r="302" spans="1:9" x14ac:dyDescent="0.3">
      <c r="A302" s="46" t="s">
        <v>371</v>
      </c>
      <c r="B302" s="46"/>
      <c r="C302" s="46"/>
      <c r="D302" s="47">
        <f t="shared" si="9"/>
        <v>0</v>
      </c>
      <c r="E302" s="46"/>
      <c r="F302" s="46"/>
      <c r="G302" s="47">
        <f t="shared" si="8"/>
        <v>0</v>
      </c>
      <c r="H302" s="48">
        <v>800</v>
      </c>
      <c r="I302" s="35">
        <f t="shared" si="10"/>
        <v>0</v>
      </c>
    </row>
    <row r="303" spans="1:9" x14ac:dyDescent="0.3">
      <c r="A303" s="46" t="s">
        <v>372</v>
      </c>
      <c r="B303" s="46"/>
      <c r="C303" s="46"/>
      <c r="D303" s="47">
        <f t="shared" si="9"/>
        <v>0</v>
      </c>
      <c r="E303" s="46"/>
      <c r="F303" s="46"/>
      <c r="G303" s="47">
        <f t="shared" si="8"/>
        <v>0</v>
      </c>
      <c r="H303" s="48">
        <v>1400</v>
      </c>
      <c r="I303" s="35">
        <f t="shared" si="10"/>
        <v>0</v>
      </c>
    </row>
    <row r="304" spans="1:9" x14ac:dyDescent="0.3">
      <c r="A304" s="46" t="s">
        <v>373</v>
      </c>
      <c r="B304" s="46"/>
      <c r="C304" s="46"/>
      <c r="D304" s="47">
        <f t="shared" si="9"/>
        <v>0</v>
      </c>
      <c r="E304" s="46"/>
      <c r="F304" s="46"/>
      <c r="G304" s="47">
        <f t="shared" si="8"/>
        <v>0</v>
      </c>
      <c r="H304" s="48">
        <v>1000</v>
      </c>
      <c r="I304" s="35">
        <f t="shared" si="10"/>
        <v>0</v>
      </c>
    </row>
    <row r="305" spans="1:9" x14ac:dyDescent="0.3">
      <c r="A305" s="46"/>
      <c r="B305" s="46"/>
      <c r="C305" s="46"/>
      <c r="D305" s="47">
        <f t="shared" si="9"/>
        <v>0</v>
      </c>
      <c r="E305" s="46"/>
      <c r="F305" s="46"/>
      <c r="G305" s="47">
        <f t="shared" si="8"/>
        <v>0</v>
      </c>
      <c r="H305" s="48"/>
      <c r="I305" s="35"/>
    </row>
    <row r="306" spans="1:9" x14ac:dyDescent="0.3">
      <c r="A306" s="46" t="s">
        <v>374</v>
      </c>
      <c r="B306" s="46"/>
      <c r="C306" s="46"/>
      <c r="D306" s="47">
        <f t="shared" si="9"/>
        <v>0</v>
      </c>
      <c r="E306" s="46"/>
      <c r="F306" s="46"/>
      <c r="G306" s="47">
        <f t="shared" si="8"/>
        <v>0</v>
      </c>
      <c r="H306" s="48">
        <v>3500</v>
      </c>
      <c r="I306" s="35">
        <f t="shared" si="10"/>
        <v>0</v>
      </c>
    </row>
    <row r="307" spans="1:9" x14ac:dyDescent="0.3">
      <c r="A307" s="46" t="s">
        <v>375</v>
      </c>
      <c r="B307" s="46"/>
      <c r="C307" s="46"/>
      <c r="D307" s="47">
        <f t="shared" si="9"/>
        <v>0</v>
      </c>
      <c r="E307" s="46"/>
      <c r="F307" s="46"/>
      <c r="G307" s="47">
        <f t="shared" si="8"/>
        <v>0</v>
      </c>
      <c r="H307" s="48">
        <v>800</v>
      </c>
      <c r="I307" s="35">
        <f t="shared" si="10"/>
        <v>0</v>
      </c>
    </row>
    <row r="308" spans="1:9" x14ac:dyDescent="0.3">
      <c r="A308" s="46" t="s">
        <v>376</v>
      </c>
      <c r="B308" s="46"/>
      <c r="C308" s="46"/>
      <c r="D308" s="47">
        <f t="shared" si="9"/>
        <v>0</v>
      </c>
      <c r="E308" s="46"/>
      <c r="F308" s="46"/>
      <c r="G308" s="47">
        <f t="shared" si="8"/>
        <v>0</v>
      </c>
      <c r="H308" s="48">
        <v>1500</v>
      </c>
      <c r="I308" s="35">
        <f t="shared" si="10"/>
        <v>0</v>
      </c>
    </row>
    <row r="309" spans="1:9" x14ac:dyDescent="0.3">
      <c r="A309" s="46" t="s">
        <v>377</v>
      </c>
      <c r="B309" s="46"/>
      <c r="C309" s="46"/>
      <c r="D309" s="47">
        <f t="shared" si="9"/>
        <v>0</v>
      </c>
      <c r="E309" s="46"/>
      <c r="F309" s="46"/>
      <c r="G309" s="47">
        <f t="shared" si="8"/>
        <v>0</v>
      </c>
      <c r="H309" s="48">
        <v>1500</v>
      </c>
      <c r="I309" s="35">
        <f t="shared" si="10"/>
        <v>0</v>
      </c>
    </row>
    <row r="310" spans="1:9" x14ac:dyDescent="0.3">
      <c r="A310" s="42" t="s">
        <v>378</v>
      </c>
      <c r="B310" s="46"/>
      <c r="C310" s="46"/>
      <c r="D310" s="47">
        <f t="shared" si="9"/>
        <v>0</v>
      </c>
      <c r="E310" s="46"/>
      <c r="F310" s="46"/>
      <c r="G310" s="47">
        <f t="shared" si="8"/>
        <v>0</v>
      </c>
      <c r="H310" s="48"/>
      <c r="I310" s="35">
        <f t="shared" si="10"/>
        <v>0</v>
      </c>
    </row>
    <row r="311" spans="1:9" x14ac:dyDescent="0.3">
      <c r="A311" s="46" t="s">
        <v>379</v>
      </c>
      <c r="B311" s="46"/>
      <c r="C311" s="46"/>
      <c r="D311" s="47">
        <f t="shared" si="9"/>
        <v>0</v>
      </c>
      <c r="E311" s="46"/>
      <c r="F311" s="46"/>
      <c r="G311" s="47">
        <f t="shared" si="8"/>
        <v>0</v>
      </c>
      <c r="H311" s="48">
        <v>60</v>
      </c>
      <c r="I311" s="35">
        <f t="shared" si="10"/>
        <v>0</v>
      </c>
    </row>
    <row r="312" spans="1:9" x14ac:dyDescent="0.3">
      <c r="A312" s="46" t="s">
        <v>380</v>
      </c>
      <c r="B312" s="46">
        <v>10</v>
      </c>
      <c r="C312" s="46"/>
      <c r="D312" s="47">
        <f t="shared" si="9"/>
        <v>10</v>
      </c>
      <c r="E312" s="46"/>
      <c r="F312" s="46"/>
      <c r="G312" s="47">
        <f t="shared" si="8"/>
        <v>10</v>
      </c>
      <c r="H312" s="48">
        <v>250</v>
      </c>
      <c r="I312" s="35">
        <f t="shared" si="10"/>
        <v>2500</v>
      </c>
    </row>
    <row r="313" spans="1:9" x14ac:dyDescent="0.3">
      <c r="A313" s="46" t="s">
        <v>381</v>
      </c>
      <c r="B313" s="46">
        <v>13</v>
      </c>
      <c r="C313" s="46"/>
      <c r="D313" s="47">
        <f t="shared" si="9"/>
        <v>13</v>
      </c>
      <c r="E313" s="46"/>
      <c r="F313" s="46"/>
      <c r="G313" s="47">
        <f t="shared" si="8"/>
        <v>13</v>
      </c>
      <c r="H313" s="48">
        <v>400</v>
      </c>
      <c r="I313" s="35">
        <f t="shared" si="10"/>
        <v>5200</v>
      </c>
    </row>
    <row r="314" spans="1:9" x14ac:dyDescent="0.3">
      <c r="A314" s="46" t="s">
        <v>382</v>
      </c>
      <c r="B314" s="46">
        <v>7</v>
      </c>
      <c r="C314" s="46"/>
      <c r="D314" s="47">
        <f t="shared" si="9"/>
        <v>7</v>
      </c>
      <c r="E314" s="46"/>
      <c r="F314" s="46"/>
      <c r="G314" s="47">
        <f t="shared" si="8"/>
        <v>7</v>
      </c>
      <c r="H314" s="48">
        <v>500</v>
      </c>
      <c r="I314" s="35">
        <f t="shared" si="10"/>
        <v>3500</v>
      </c>
    </row>
    <row r="315" spans="1:9" x14ac:dyDescent="0.3">
      <c r="A315" s="46" t="s">
        <v>383</v>
      </c>
      <c r="B315" s="46">
        <v>100</v>
      </c>
      <c r="C315" s="46"/>
      <c r="D315" s="47">
        <f t="shared" si="9"/>
        <v>100</v>
      </c>
      <c r="E315" s="46"/>
      <c r="F315" s="46"/>
      <c r="G315" s="47">
        <f t="shared" si="8"/>
        <v>100</v>
      </c>
      <c r="H315" s="49">
        <v>45</v>
      </c>
      <c r="I315" s="35">
        <f t="shared" si="10"/>
        <v>4500</v>
      </c>
    </row>
    <row r="316" spans="1:9" x14ac:dyDescent="0.3">
      <c r="A316" s="46" t="s">
        <v>384</v>
      </c>
      <c r="B316" s="46">
        <v>100</v>
      </c>
      <c r="C316" s="46"/>
      <c r="D316" s="47">
        <f t="shared" si="9"/>
        <v>100</v>
      </c>
      <c r="E316" s="46"/>
      <c r="F316" s="46"/>
      <c r="G316" s="47">
        <f t="shared" si="8"/>
        <v>100</v>
      </c>
      <c r="H316" s="49">
        <v>45</v>
      </c>
      <c r="I316" s="35">
        <f t="shared" si="10"/>
        <v>4500</v>
      </c>
    </row>
    <row r="317" spans="1:9" x14ac:dyDescent="0.3">
      <c r="A317" s="46" t="s">
        <v>385</v>
      </c>
      <c r="B317" s="46">
        <v>50</v>
      </c>
      <c r="C317" s="46"/>
      <c r="D317" s="47">
        <f t="shared" si="9"/>
        <v>50</v>
      </c>
      <c r="E317" s="46"/>
      <c r="F317" s="46"/>
      <c r="G317" s="47">
        <f t="shared" si="8"/>
        <v>50</v>
      </c>
      <c r="H317" s="49">
        <v>105</v>
      </c>
      <c r="I317" s="35">
        <f t="shared" si="10"/>
        <v>5250</v>
      </c>
    </row>
    <row r="318" spans="1:9" x14ac:dyDescent="0.3">
      <c r="A318" s="46" t="s">
        <v>386</v>
      </c>
      <c r="B318" s="46"/>
      <c r="C318" s="46"/>
      <c r="D318" s="47">
        <f t="shared" si="9"/>
        <v>0</v>
      </c>
      <c r="E318" s="46"/>
      <c r="F318" s="46"/>
      <c r="G318" s="47">
        <f t="shared" si="8"/>
        <v>0</v>
      </c>
      <c r="H318" s="52">
        <v>6000</v>
      </c>
      <c r="I318" s="35">
        <f t="shared" si="10"/>
        <v>0</v>
      </c>
    </row>
    <row r="319" spans="1:9" x14ac:dyDescent="0.3">
      <c r="A319" s="46" t="s">
        <v>387</v>
      </c>
      <c r="B319" s="46"/>
      <c r="C319" s="46"/>
      <c r="D319" s="47">
        <f t="shared" si="9"/>
        <v>0</v>
      </c>
      <c r="E319" s="46"/>
      <c r="F319" s="46"/>
      <c r="G319" s="47">
        <f t="shared" si="8"/>
        <v>0</v>
      </c>
      <c r="H319" s="48">
        <v>2800</v>
      </c>
      <c r="I319" s="35">
        <f t="shared" si="10"/>
        <v>0</v>
      </c>
    </row>
    <row r="320" spans="1:9" x14ac:dyDescent="0.3">
      <c r="A320" s="46" t="s">
        <v>388</v>
      </c>
      <c r="B320" s="46"/>
      <c r="C320" s="46"/>
      <c r="D320" s="47">
        <f t="shared" si="9"/>
        <v>0</v>
      </c>
      <c r="E320" s="46"/>
      <c r="F320" s="46"/>
      <c r="G320" s="47">
        <f t="shared" si="8"/>
        <v>0</v>
      </c>
      <c r="H320" s="48">
        <v>2500</v>
      </c>
      <c r="I320" s="35">
        <f t="shared" si="10"/>
        <v>0</v>
      </c>
    </row>
    <row r="321" spans="1:9" x14ac:dyDescent="0.3">
      <c r="A321" s="46" t="s">
        <v>389</v>
      </c>
      <c r="B321" s="46"/>
      <c r="C321" s="46"/>
      <c r="D321" s="47">
        <f t="shared" si="9"/>
        <v>0</v>
      </c>
      <c r="E321" s="46"/>
      <c r="F321" s="46"/>
      <c r="G321" s="47">
        <f t="shared" si="8"/>
        <v>0</v>
      </c>
      <c r="H321" s="48">
        <v>2600</v>
      </c>
      <c r="I321" s="35">
        <f t="shared" si="10"/>
        <v>0</v>
      </c>
    </row>
    <row r="322" spans="1:9" x14ac:dyDescent="0.3">
      <c r="A322" s="46" t="s">
        <v>390</v>
      </c>
      <c r="B322" s="46"/>
      <c r="C322" s="46"/>
      <c r="D322" s="47">
        <f t="shared" si="9"/>
        <v>0</v>
      </c>
      <c r="E322" s="46"/>
      <c r="F322" s="46"/>
      <c r="G322" s="47">
        <f t="shared" si="8"/>
        <v>0</v>
      </c>
      <c r="H322" s="48">
        <v>2800</v>
      </c>
      <c r="I322" s="35">
        <f t="shared" si="10"/>
        <v>0</v>
      </c>
    </row>
    <row r="323" spans="1:9" x14ac:dyDescent="0.3">
      <c r="A323" s="46" t="s">
        <v>391</v>
      </c>
      <c r="B323" s="46"/>
      <c r="C323" s="46"/>
      <c r="D323" s="47">
        <f t="shared" si="9"/>
        <v>0</v>
      </c>
      <c r="E323" s="46"/>
      <c r="F323" s="46"/>
      <c r="G323" s="47">
        <f t="shared" si="8"/>
        <v>0</v>
      </c>
      <c r="H323" s="48">
        <v>2400</v>
      </c>
      <c r="I323" s="35">
        <f t="shared" si="10"/>
        <v>0</v>
      </c>
    </row>
    <row r="324" spans="1:9" x14ac:dyDescent="0.3">
      <c r="A324" s="46" t="s">
        <v>392</v>
      </c>
      <c r="B324" s="46"/>
      <c r="C324" s="46"/>
      <c r="D324" s="47">
        <f t="shared" si="9"/>
        <v>0</v>
      </c>
      <c r="E324" s="46"/>
      <c r="F324" s="46"/>
      <c r="G324" s="47">
        <f t="shared" si="8"/>
        <v>0</v>
      </c>
      <c r="H324" s="48">
        <v>250</v>
      </c>
      <c r="I324" s="35">
        <f t="shared" si="10"/>
        <v>0</v>
      </c>
    </row>
    <row r="325" spans="1:9" x14ac:dyDescent="0.3">
      <c r="A325" s="46" t="s">
        <v>393</v>
      </c>
      <c r="B325" s="46"/>
      <c r="C325" s="46"/>
      <c r="D325" s="47">
        <f t="shared" si="9"/>
        <v>0</v>
      </c>
      <c r="E325" s="46"/>
      <c r="F325" s="46"/>
      <c r="G325" s="47">
        <f t="shared" si="8"/>
        <v>0</v>
      </c>
      <c r="H325" s="48">
        <v>130</v>
      </c>
      <c r="I325" s="35">
        <f t="shared" si="10"/>
        <v>0</v>
      </c>
    </row>
    <row r="326" spans="1:9" x14ac:dyDescent="0.3">
      <c r="A326" s="46" t="s">
        <v>394</v>
      </c>
      <c r="B326" s="46"/>
      <c r="C326" s="46"/>
      <c r="D326" s="47">
        <f t="shared" si="9"/>
        <v>0</v>
      </c>
      <c r="E326" s="46"/>
      <c r="F326" s="46"/>
      <c r="G326" s="47">
        <f t="shared" si="8"/>
        <v>0</v>
      </c>
      <c r="H326" s="48">
        <v>4500</v>
      </c>
      <c r="I326" s="35">
        <f t="shared" si="10"/>
        <v>0</v>
      </c>
    </row>
    <row r="327" spans="1:9" x14ac:dyDescent="0.3">
      <c r="A327" s="46" t="s">
        <v>395</v>
      </c>
      <c r="B327" s="46"/>
      <c r="C327" s="46"/>
      <c r="D327" s="47">
        <f t="shared" si="9"/>
        <v>0</v>
      </c>
      <c r="E327" s="46"/>
      <c r="F327" s="46"/>
      <c r="G327" s="47">
        <f t="shared" si="8"/>
        <v>0</v>
      </c>
      <c r="H327" s="48">
        <v>5000</v>
      </c>
      <c r="I327" s="35">
        <f t="shared" si="10"/>
        <v>0</v>
      </c>
    </row>
    <row r="328" spans="1:9" x14ac:dyDescent="0.3">
      <c r="A328" s="46" t="s">
        <v>396</v>
      </c>
      <c r="B328" s="46"/>
      <c r="C328" s="46"/>
      <c r="D328" s="47">
        <f t="shared" si="9"/>
        <v>0</v>
      </c>
      <c r="E328" s="46"/>
      <c r="F328" s="46"/>
      <c r="G328" s="47">
        <f t="shared" si="8"/>
        <v>0</v>
      </c>
      <c r="H328" s="48">
        <v>2800</v>
      </c>
      <c r="I328" s="35">
        <f t="shared" si="10"/>
        <v>0</v>
      </c>
    </row>
    <row r="329" spans="1:9" x14ac:dyDescent="0.3">
      <c r="A329" s="46" t="s">
        <v>397</v>
      </c>
      <c r="B329" s="46"/>
      <c r="C329" s="46"/>
      <c r="D329" s="47">
        <f t="shared" si="9"/>
        <v>0</v>
      </c>
      <c r="E329" s="46"/>
      <c r="F329" s="46"/>
      <c r="G329" s="47">
        <f t="shared" si="8"/>
        <v>0</v>
      </c>
      <c r="H329" s="48">
        <v>1500</v>
      </c>
      <c r="I329" s="35">
        <f t="shared" si="10"/>
        <v>0</v>
      </c>
    </row>
    <row r="330" spans="1:9" x14ac:dyDescent="0.3">
      <c r="A330" s="46" t="s">
        <v>398</v>
      </c>
      <c r="B330" s="46"/>
      <c r="C330" s="46"/>
      <c r="D330" s="47">
        <f t="shared" si="9"/>
        <v>0</v>
      </c>
      <c r="E330" s="46"/>
      <c r="F330" s="46"/>
      <c r="G330" s="47">
        <f t="shared" si="8"/>
        <v>0</v>
      </c>
      <c r="H330" s="48">
        <v>1000</v>
      </c>
      <c r="I330" s="35">
        <f t="shared" si="10"/>
        <v>0</v>
      </c>
    </row>
    <row r="331" spans="1:9" x14ac:dyDescent="0.3">
      <c r="A331" s="46" t="s">
        <v>399</v>
      </c>
      <c r="B331" s="46"/>
      <c r="C331" s="46"/>
      <c r="D331" s="47">
        <f t="shared" ref="D331:D375" si="11">B331+C331</f>
        <v>0</v>
      </c>
      <c r="E331" s="46"/>
      <c r="F331" s="46"/>
      <c r="G331" s="47">
        <f t="shared" si="8"/>
        <v>0</v>
      </c>
      <c r="H331" s="48">
        <v>2850</v>
      </c>
      <c r="I331" s="35">
        <f t="shared" si="10"/>
        <v>0</v>
      </c>
    </row>
    <row r="332" spans="1:9" x14ac:dyDescent="0.3">
      <c r="A332" s="46" t="s">
        <v>400</v>
      </c>
      <c r="B332" s="46"/>
      <c r="C332" s="46"/>
      <c r="D332" s="47">
        <f t="shared" si="11"/>
        <v>0</v>
      </c>
      <c r="E332" s="46"/>
      <c r="F332" s="46"/>
      <c r="G332" s="47">
        <f t="shared" si="8"/>
        <v>0</v>
      </c>
      <c r="H332" s="48"/>
      <c r="I332" s="35">
        <f t="shared" si="10"/>
        <v>0</v>
      </c>
    </row>
    <row r="333" spans="1:9" x14ac:dyDescent="0.3">
      <c r="A333" s="46" t="s">
        <v>358</v>
      </c>
      <c r="B333" s="46"/>
      <c r="C333" s="46"/>
      <c r="D333" s="47">
        <f t="shared" si="11"/>
        <v>0</v>
      </c>
      <c r="E333" s="46"/>
      <c r="F333" s="46"/>
      <c r="G333" s="47">
        <f t="shared" si="8"/>
        <v>0</v>
      </c>
      <c r="H333" s="48">
        <v>3500</v>
      </c>
      <c r="I333" s="35">
        <f t="shared" si="10"/>
        <v>0</v>
      </c>
    </row>
    <row r="334" spans="1:9" x14ac:dyDescent="0.3">
      <c r="A334" s="46" t="s">
        <v>401</v>
      </c>
      <c r="B334" s="46">
        <v>5</v>
      </c>
      <c r="C334" s="46"/>
      <c r="D334" s="47">
        <f t="shared" si="11"/>
        <v>5</v>
      </c>
      <c r="E334" s="46"/>
      <c r="F334" s="46"/>
      <c r="G334" s="47">
        <f t="shared" si="8"/>
        <v>5</v>
      </c>
      <c r="H334" s="48">
        <v>650</v>
      </c>
      <c r="I334" s="35">
        <f t="shared" si="10"/>
        <v>3250</v>
      </c>
    </row>
    <row r="335" spans="1:9" x14ac:dyDescent="0.3">
      <c r="A335" s="46" t="s">
        <v>402</v>
      </c>
      <c r="B335" s="46"/>
      <c r="C335" s="46"/>
      <c r="D335" s="47">
        <f t="shared" si="11"/>
        <v>0</v>
      </c>
      <c r="E335" s="46"/>
      <c r="F335" s="46"/>
      <c r="G335" s="47">
        <f t="shared" si="8"/>
        <v>0</v>
      </c>
      <c r="H335" s="48">
        <v>1000</v>
      </c>
      <c r="I335" s="35">
        <f t="shared" si="10"/>
        <v>0</v>
      </c>
    </row>
    <row r="336" spans="1:9" x14ac:dyDescent="0.3">
      <c r="A336" s="46" t="s">
        <v>403</v>
      </c>
      <c r="B336" s="46">
        <v>90</v>
      </c>
      <c r="C336" s="46"/>
      <c r="D336" s="47">
        <f t="shared" si="11"/>
        <v>90</v>
      </c>
      <c r="E336" s="46"/>
      <c r="F336" s="46"/>
      <c r="G336" s="47">
        <f t="shared" si="8"/>
        <v>90</v>
      </c>
      <c r="H336" s="48">
        <v>100</v>
      </c>
      <c r="I336" s="35">
        <f t="shared" si="10"/>
        <v>9000</v>
      </c>
    </row>
    <row r="337" spans="1:9" x14ac:dyDescent="0.3">
      <c r="A337" s="46" t="s">
        <v>404</v>
      </c>
      <c r="B337" s="46">
        <v>85</v>
      </c>
      <c r="C337" s="46"/>
      <c r="D337" s="47">
        <f t="shared" si="11"/>
        <v>85</v>
      </c>
      <c r="E337" s="46"/>
      <c r="F337" s="46"/>
      <c r="G337" s="47">
        <f t="shared" si="8"/>
        <v>85</v>
      </c>
      <c r="H337" s="48">
        <v>100</v>
      </c>
      <c r="I337" s="35">
        <f t="shared" si="10"/>
        <v>8500</v>
      </c>
    </row>
    <row r="338" spans="1:9" x14ac:dyDescent="0.3">
      <c r="A338" s="46" t="s">
        <v>405</v>
      </c>
      <c r="B338" s="46">
        <v>11</v>
      </c>
      <c r="C338" s="46"/>
      <c r="D338" s="47">
        <f t="shared" si="11"/>
        <v>11</v>
      </c>
      <c r="E338" s="46"/>
      <c r="F338" s="46"/>
      <c r="G338" s="47">
        <f t="shared" ref="G338:G375" si="12">D338-E338-F338</f>
        <v>11</v>
      </c>
      <c r="H338" s="48">
        <v>450</v>
      </c>
      <c r="I338" s="35">
        <f t="shared" si="10"/>
        <v>4950</v>
      </c>
    </row>
    <row r="339" spans="1:9" x14ac:dyDescent="0.3">
      <c r="A339" s="46" t="s">
        <v>406</v>
      </c>
      <c r="B339" s="46">
        <v>25</v>
      </c>
      <c r="C339" s="46"/>
      <c r="D339" s="47">
        <f t="shared" si="11"/>
        <v>25</v>
      </c>
      <c r="E339" s="46"/>
      <c r="F339" s="46"/>
      <c r="G339" s="47">
        <f t="shared" si="12"/>
        <v>25</v>
      </c>
      <c r="H339" s="48">
        <v>300</v>
      </c>
      <c r="I339" s="35">
        <f t="shared" si="10"/>
        <v>7500</v>
      </c>
    </row>
    <row r="340" spans="1:9" x14ac:dyDescent="0.3">
      <c r="A340" s="46" t="s">
        <v>407</v>
      </c>
      <c r="B340" s="46">
        <v>20</v>
      </c>
      <c r="C340" s="46"/>
      <c r="D340" s="47">
        <f t="shared" si="11"/>
        <v>20</v>
      </c>
      <c r="E340" s="46"/>
      <c r="F340" s="46"/>
      <c r="G340" s="47">
        <f t="shared" si="12"/>
        <v>20</v>
      </c>
      <c r="H340" s="48">
        <v>150</v>
      </c>
      <c r="I340" s="35">
        <f t="shared" si="10"/>
        <v>3000</v>
      </c>
    </row>
    <row r="341" spans="1:9" x14ac:dyDescent="0.3">
      <c r="A341" s="46" t="s">
        <v>408</v>
      </c>
      <c r="B341" s="46">
        <v>150</v>
      </c>
      <c r="C341" s="46"/>
      <c r="D341" s="47">
        <f t="shared" si="11"/>
        <v>150</v>
      </c>
      <c r="E341" s="46"/>
      <c r="F341" s="46"/>
      <c r="G341" s="47">
        <f t="shared" si="12"/>
        <v>150</v>
      </c>
      <c r="H341" s="48">
        <v>90</v>
      </c>
      <c r="I341" s="35">
        <f t="shared" si="10"/>
        <v>13500</v>
      </c>
    </row>
    <row r="342" spans="1:9" x14ac:dyDescent="0.3">
      <c r="A342" s="46" t="s">
        <v>409</v>
      </c>
      <c r="B342" s="46"/>
      <c r="C342" s="46"/>
      <c r="D342" s="47">
        <f t="shared" si="11"/>
        <v>0</v>
      </c>
      <c r="E342" s="46"/>
      <c r="F342" s="46"/>
      <c r="G342" s="47">
        <f t="shared" si="12"/>
        <v>0</v>
      </c>
      <c r="H342" s="48">
        <v>100</v>
      </c>
      <c r="I342" s="35">
        <f t="shared" si="10"/>
        <v>0</v>
      </c>
    </row>
    <row r="343" spans="1:9" x14ac:dyDescent="0.3">
      <c r="A343" s="46" t="s">
        <v>410</v>
      </c>
      <c r="B343" s="46"/>
      <c r="C343" s="46"/>
      <c r="D343" s="47">
        <f t="shared" si="11"/>
        <v>0</v>
      </c>
      <c r="E343" s="46"/>
      <c r="F343" s="46"/>
      <c r="G343" s="47">
        <f t="shared" si="12"/>
        <v>0</v>
      </c>
      <c r="H343" s="48">
        <v>1500</v>
      </c>
      <c r="I343" s="35">
        <f t="shared" si="10"/>
        <v>0</v>
      </c>
    </row>
    <row r="344" spans="1:9" x14ac:dyDescent="0.3">
      <c r="A344" s="46" t="s">
        <v>411</v>
      </c>
      <c r="B344" s="46"/>
      <c r="C344" s="46"/>
      <c r="D344" s="47">
        <f t="shared" si="11"/>
        <v>0</v>
      </c>
      <c r="E344" s="46"/>
      <c r="F344" s="46"/>
      <c r="G344" s="47">
        <f t="shared" si="12"/>
        <v>0</v>
      </c>
      <c r="H344" s="48">
        <v>600</v>
      </c>
      <c r="I344" s="35">
        <f t="shared" si="10"/>
        <v>0</v>
      </c>
    </row>
    <row r="345" spans="1:9" x14ac:dyDescent="0.3">
      <c r="A345" s="46" t="s">
        <v>412</v>
      </c>
      <c r="B345" s="46"/>
      <c r="C345" s="46"/>
      <c r="D345" s="47">
        <f t="shared" si="11"/>
        <v>0</v>
      </c>
      <c r="E345" s="46"/>
      <c r="F345" s="46"/>
      <c r="G345" s="47">
        <f t="shared" si="12"/>
        <v>0</v>
      </c>
      <c r="H345" s="48">
        <v>500</v>
      </c>
      <c r="I345" s="35">
        <f t="shared" si="10"/>
        <v>0</v>
      </c>
    </row>
    <row r="346" spans="1:9" x14ac:dyDescent="0.3">
      <c r="A346" s="46" t="s">
        <v>413</v>
      </c>
      <c r="B346" s="46"/>
      <c r="C346" s="46"/>
      <c r="D346" s="47">
        <f t="shared" si="11"/>
        <v>0</v>
      </c>
      <c r="E346" s="46"/>
      <c r="F346" s="46"/>
      <c r="G346" s="47">
        <f t="shared" si="12"/>
        <v>0</v>
      </c>
      <c r="H346" s="48">
        <v>25</v>
      </c>
      <c r="I346" s="35">
        <f t="shared" si="10"/>
        <v>0</v>
      </c>
    </row>
    <row r="347" spans="1:9" x14ac:dyDescent="0.3">
      <c r="A347" s="46" t="s">
        <v>414</v>
      </c>
      <c r="B347" s="46"/>
      <c r="C347" s="46"/>
      <c r="D347" s="47">
        <f t="shared" si="11"/>
        <v>0</v>
      </c>
      <c r="E347" s="46"/>
      <c r="F347" s="46"/>
      <c r="G347" s="47">
        <f t="shared" si="12"/>
        <v>0</v>
      </c>
      <c r="H347" s="48">
        <v>28000</v>
      </c>
      <c r="I347" s="35">
        <f t="shared" si="10"/>
        <v>0</v>
      </c>
    </row>
    <row r="348" spans="1:9" x14ac:dyDescent="0.3">
      <c r="A348" s="46" t="s">
        <v>415</v>
      </c>
      <c r="B348" s="46"/>
      <c r="C348" s="46"/>
      <c r="D348" s="47">
        <f t="shared" si="11"/>
        <v>0</v>
      </c>
      <c r="E348" s="46"/>
      <c r="F348" s="46"/>
      <c r="G348" s="47">
        <f t="shared" si="12"/>
        <v>0</v>
      </c>
      <c r="H348" s="48">
        <v>1500</v>
      </c>
      <c r="I348" s="35">
        <f t="shared" si="10"/>
        <v>0</v>
      </c>
    </row>
    <row r="349" spans="1:9" x14ac:dyDescent="0.3">
      <c r="A349" s="46" t="s">
        <v>416</v>
      </c>
      <c r="B349" s="46"/>
      <c r="C349" s="46"/>
      <c r="D349" s="47">
        <f t="shared" si="11"/>
        <v>0</v>
      </c>
      <c r="E349" s="46"/>
      <c r="F349" s="46"/>
      <c r="G349" s="47">
        <f t="shared" si="12"/>
        <v>0</v>
      </c>
      <c r="H349" s="48">
        <v>30</v>
      </c>
      <c r="I349" s="35">
        <f t="shared" si="10"/>
        <v>0</v>
      </c>
    </row>
    <row r="350" spans="1:9" x14ac:dyDescent="0.3">
      <c r="A350" s="46" t="s">
        <v>417</v>
      </c>
      <c r="B350" s="46"/>
      <c r="C350" s="46"/>
      <c r="D350" s="47">
        <f t="shared" si="11"/>
        <v>0</v>
      </c>
      <c r="E350" s="46"/>
      <c r="F350" s="46"/>
      <c r="G350" s="47">
        <f t="shared" si="12"/>
        <v>0</v>
      </c>
      <c r="H350" s="48">
        <v>30</v>
      </c>
      <c r="I350" s="35">
        <f t="shared" si="10"/>
        <v>0</v>
      </c>
    </row>
    <row r="351" spans="1:9" x14ac:dyDescent="0.3">
      <c r="A351" s="46" t="s">
        <v>418</v>
      </c>
      <c r="B351" s="46"/>
      <c r="C351" s="46"/>
      <c r="D351" s="47">
        <f t="shared" si="11"/>
        <v>0</v>
      </c>
      <c r="E351" s="46"/>
      <c r="F351" s="46"/>
      <c r="G351" s="47">
        <f t="shared" si="12"/>
        <v>0</v>
      </c>
      <c r="H351" s="48">
        <v>1200</v>
      </c>
      <c r="I351" s="35">
        <f t="shared" si="10"/>
        <v>0</v>
      </c>
    </row>
    <row r="352" spans="1:9" x14ac:dyDescent="0.3">
      <c r="A352" s="46" t="s">
        <v>419</v>
      </c>
      <c r="B352" s="46"/>
      <c r="C352" s="46"/>
      <c r="D352" s="47">
        <f t="shared" si="11"/>
        <v>0</v>
      </c>
      <c r="E352" s="46"/>
      <c r="F352" s="46"/>
      <c r="G352" s="47">
        <f t="shared" si="12"/>
        <v>0</v>
      </c>
      <c r="H352" s="48">
        <v>700</v>
      </c>
      <c r="I352" s="35">
        <f t="shared" si="10"/>
        <v>0</v>
      </c>
    </row>
    <row r="353" spans="1:9" x14ac:dyDescent="0.3">
      <c r="A353" s="46" t="s">
        <v>420</v>
      </c>
      <c r="B353" s="46"/>
      <c r="C353" s="46"/>
      <c r="D353" s="47">
        <f t="shared" si="11"/>
        <v>0</v>
      </c>
      <c r="E353" s="46"/>
      <c r="F353" s="46"/>
      <c r="G353" s="47">
        <f t="shared" si="12"/>
        <v>0</v>
      </c>
      <c r="H353" s="48">
        <v>8000</v>
      </c>
      <c r="I353" s="35">
        <f t="shared" si="10"/>
        <v>0</v>
      </c>
    </row>
    <row r="354" spans="1:9" x14ac:dyDescent="0.3">
      <c r="A354" s="46" t="s">
        <v>421</v>
      </c>
      <c r="B354" s="46"/>
      <c r="C354" s="46"/>
      <c r="D354" s="47">
        <f t="shared" si="11"/>
        <v>0</v>
      </c>
      <c r="E354" s="46"/>
      <c r="F354" s="46"/>
      <c r="G354" s="47">
        <f t="shared" si="12"/>
        <v>0</v>
      </c>
      <c r="H354" s="48">
        <v>6</v>
      </c>
      <c r="I354" s="35">
        <f t="shared" si="10"/>
        <v>0</v>
      </c>
    </row>
    <row r="355" spans="1:9" x14ac:dyDescent="0.3">
      <c r="A355" s="46" t="s">
        <v>422</v>
      </c>
      <c r="B355" s="46"/>
      <c r="C355" s="46"/>
      <c r="D355" s="47">
        <f t="shared" si="11"/>
        <v>0</v>
      </c>
      <c r="E355" s="46"/>
      <c r="F355" s="46"/>
      <c r="G355" s="47">
        <f t="shared" si="12"/>
        <v>0</v>
      </c>
      <c r="H355" s="48">
        <v>2000</v>
      </c>
      <c r="I355" s="35">
        <f t="shared" si="10"/>
        <v>0</v>
      </c>
    </row>
    <row r="356" spans="1:9" x14ac:dyDescent="0.3">
      <c r="A356" s="46" t="s">
        <v>423</v>
      </c>
      <c r="B356" s="46">
        <v>100</v>
      </c>
      <c r="C356" s="46"/>
      <c r="D356" s="47">
        <f t="shared" si="11"/>
        <v>100</v>
      </c>
      <c r="E356" s="46"/>
      <c r="F356" s="46"/>
      <c r="G356" s="47">
        <f t="shared" si="12"/>
        <v>100</v>
      </c>
      <c r="H356" s="48">
        <v>180</v>
      </c>
      <c r="I356" s="35">
        <f t="shared" si="10"/>
        <v>18000</v>
      </c>
    </row>
    <row r="357" spans="1:9" x14ac:dyDescent="0.3">
      <c r="A357" s="46" t="s">
        <v>424</v>
      </c>
      <c r="B357" s="46">
        <v>1</v>
      </c>
      <c r="C357" s="46"/>
      <c r="D357" s="47">
        <f t="shared" si="11"/>
        <v>1</v>
      </c>
      <c r="E357" s="46"/>
      <c r="F357" s="46"/>
      <c r="G357" s="47">
        <f t="shared" si="12"/>
        <v>1</v>
      </c>
      <c r="H357" s="48">
        <v>5000</v>
      </c>
      <c r="I357" s="35">
        <f t="shared" si="10"/>
        <v>5000</v>
      </c>
    </row>
    <row r="358" spans="1:9" x14ac:dyDescent="0.3">
      <c r="A358" s="46" t="s">
        <v>425</v>
      </c>
      <c r="B358" s="46">
        <v>2</v>
      </c>
      <c r="C358" s="46"/>
      <c r="D358" s="47">
        <f t="shared" si="11"/>
        <v>2</v>
      </c>
      <c r="E358" s="46"/>
      <c r="F358" s="46"/>
      <c r="G358" s="47">
        <f t="shared" si="12"/>
        <v>2</v>
      </c>
      <c r="H358" s="48">
        <v>7500</v>
      </c>
      <c r="I358" s="35">
        <f t="shared" si="10"/>
        <v>15000</v>
      </c>
    </row>
    <row r="359" spans="1:9" x14ac:dyDescent="0.3">
      <c r="A359" s="46" t="s">
        <v>426</v>
      </c>
      <c r="B359" s="46">
        <v>17</v>
      </c>
      <c r="C359" s="46"/>
      <c r="D359" s="47">
        <f t="shared" si="11"/>
        <v>17</v>
      </c>
      <c r="E359" s="46"/>
      <c r="F359" s="46"/>
      <c r="G359" s="47">
        <f t="shared" si="12"/>
        <v>17</v>
      </c>
      <c r="H359" s="48">
        <v>70</v>
      </c>
      <c r="I359" s="35">
        <f t="shared" si="10"/>
        <v>1190</v>
      </c>
    </row>
    <row r="360" spans="1:9" x14ac:dyDescent="0.3">
      <c r="A360" s="46" t="s">
        <v>427</v>
      </c>
      <c r="B360" s="46"/>
      <c r="C360" s="46"/>
      <c r="D360" s="47">
        <f t="shared" si="11"/>
        <v>0</v>
      </c>
      <c r="E360" s="46"/>
      <c r="F360" s="46"/>
      <c r="G360" s="47">
        <f t="shared" si="12"/>
        <v>0</v>
      </c>
      <c r="H360" s="48">
        <v>1400</v>
      </c>
      <c r="I360" s="35">
        <f t="shared" si="10"/>
        <v>0</v>
      </c>
    </row>
    <row r="361" spans="1:9" x14ac:dyDescent="0.3">
      <c r="A361" s="46" t="s">
        <v>428</v>
      </c>
      <c r="B361" s="46"/>
      <c r="C361" s="46"/>
      <c r="D361" s="47">
        <f t="shared" si="11"/>
        <v>0</v>
      </c>
      <c r="E361" s="46"/>
      <c r="F361" s="46"/>
      <c r="G361" s="47">
        <f t="shared" si="12"/>
        <v>0</v>
      </c>
      <c r="H361" s="48">
        <v>1200</v>
      </c>
      <c r="I361" s="35">
        <f t="shared" si="10"/>
        <v>0</v>
      </c>
    </row>
    <row r="362" spans="1:9" x14ac:dyDescent="0.3">
      <c r="A362" s="46" t="s">
        <v>429</v>
      </c>
      <c r="B362" s="46"/>
      <c r="C362" s="46"/>
      <c r="D362" s="47">
        <f t="shared" si="11"/>
        <v>0</v>
      </c>
      <c r="E362" s="46"/>
      <c r="F362" s="46"/>
      <c r="G362" s="47">
        <f t="shared" si="12"/>
        <v>0</v>
      </c>
      <c r="H362" s="48">
        <v>30</v>
      </c>
      <c r="I362" s="35">
        <f t="shared" si="10"/>
        <v>0</v>
      </c>
    </row>
    <row r="363" spans="1:9" x14ac:dyDescent="0.3">
      <c r="A363" s="46" t="s">
        <v>430</v>
      </c>
      <c r="B363" s="46"/>
      <c r="C363" s="46"/>
      <c r="D363" s="47">
        <f t="shared" si="11"/>
        <v>0</v>
      </c>
      <c r="E363" s="46"/>
      <c r="F363" s="46"/>
      <c r="G363" s="47">
        <f t="shared" si="12"/>
        <v>0</v>
      </c>
      <c r="H363" s="48">
        <v>32</v>
      </c>
      <c r="I363" s="35">
        <f t="shared" si="10"/>
        <v>0</v>
      </c>
    </row>
    <row r="364" spans="1:9" x14ac:dyDescent="0.3">
      <c r="A364" s="46" t="s">
        <v>431</v>
      </c>
      <c r="B364" s="46"/>
      <c r="C364" s="46"/>
      <c r="D364" s="47">
        <f t="shared" si="11"/>
        <v>0</v>
      </c>
      <c r="E364" s="46"/>
      <c r="F364" s="46"/>
      <c r="G364" s="47">
        <f t="shared" si="12"/>
        <v>0</v>
      </c>
      <c r="H364" s="48">
        <v>2000</v>
      </c>
      <c r="I364" s="35">
        <f t="shared" si="10"/>
        <v>0</v>
      </c>
    </row>
    <row r="365" spans="1:9" x14ac:dyDescent="0.3">
      <c r="A365" s="46" t="s">
        <v>432</v>
      </c>
      <c r="B365" s="46">
        <v>1</v>
      </c>
      <c r="C365" s="46"/>
      <c r="D365" s="47">
        <f t="shared" si="11"/>
        <v>1</v>
      </c>
      <c r="E365" s="46"/>
      <c r="F365" s="46"/>
      <c r="G365" s="47">
        <f t="shared" si="12"/>
        <v>1</v>
      </c>
      <c r="H365" s="48">
        <v>1450</v>
      </c>
      <c r="I365" s="35">
        <f t="shared" si="10"/>
        <v>1450</v>
      </c>
    </row>
    <row r="366" spans="1:9" x14ac:dyDescent="0.3">
      <c r="A366" s="46" t="s">
        <v>433</v>
      </c>
      <c r="B366" s="46">
        <v>9</v>
      </c>
      <c r="C366" s="46"/>
      <c r="D366" s="47">
        <f t="shared" si="11"/>
        <v>9</v>
      </c>
      <c r="E366" s="46"/>
      <c r="F366" s="46"/>
      <c r="G366" s="47">
        <f t="shared" si="12"/>
        <v>9</v>
      </c>
      <c r="H366" s="48">
        <v>300</v>
      </c>
      <c r="I366" s="35">
        <f t="shared" si="10"/>
        <v>2700</v>
      </c>
    </row>
    <row r="367" spans="1:9" x14ac:dyDescent="0.3">
      <c r="A367" s="46" t="s">
        <v>434</v>
      </c>
      <c r="B367" s="46">
        <v>8</v>
      </c>
      <c r="C367" s="46"/>
      <c r="D367" s="47">
        <f t="shared" si="11"/>
        <v>8</v>
      </c>
      <c r="E367" s="46"/>
      <c r="F367" s="46"/>
      <c r="G367" s="47">
        <f t="shared" si="12"/>
        <v>8</v>
      </c>
      <c r="H367" s="48">
        <v>500</v>
      </c>
      <c r="I367" s="35">
        <f t="shared" si="10"/>
        <v>4000</v>
      </c>
    </row>
    <row r="368" spans="1:9" x14ac:dyDescent="0.3">
      <c r="A368" s="46" t="s">
        <v>435</v>
      </c>
      <c r="B368" s="46"/>
      <c r="C368" s="46"/>
      <c r="D368" s="47">
        <f t="shared" si="11"/>
        <v>0</v>
      </c>
      <c r="E368" s="46"/>
      <c r="F368" s="46"/>
      <c r="G368" s="47">
        <f t="shared" si="12"/>
        <v>0</v>
      </c>
      <c r="H368" s="48">
        <v>120</v>
      </c>
      <c r="I368" s="35">
        <f t="shared" si="10"/>
        <v>0</v>
      </c>
    </row>
    <row r="369" spans="1:9" x14ac:dyDescent="0.3">
      <c r="A369" s="46" t="s">
        <v>436</v>
      </c>
      <c r="B369" s="46"/>
      <c r="C369" s="46"/>
      <c r="D369" s="47">
        <f t="shared" si="11"/>
        <v>0</v>
      </c>
      <c r="E369" s="46"/>
      <c r="F369" s="46"/>
      <c r="G369" s="47">
        <f t="shared" si="12"/>
        <v>0</v>
      </c>
      <c r="H369" s="48"/>
      <c r="I369" s="35">
        <f t="shared" si="10"/>
        <v>0</v>
      </c>
    </row>
    <row r="370" spans="1:9" x14ac:dyDescent="0.3">
      <c r="A370" s="46" t="s">
        <v>437</v>
      </c>
      <c r="B370" s="46"/>
      <c r="C370" s="46"/>
      <c r="D370" s="47">
        <f t="shared" si="11"/>
        <v>0</v>
      </c>
      <c r="E370" s="46"/>
      <c r="F370" s="46"/>
      <c r="G370" s="47">
        <f t="shared" si="12"/>
        <v>0</v>
      </c>
      <c r="H370" s="48">
        <v>65</v>
      </c>
      <c r="I370" s="35">
        <f t="shared" si="10"/>
        <v>0</v>
      </c>
    </row>
    <row r="371" spans="1:9" x14ac:dyDescent="0.3">
      <c r="A371" s="46" t="s">
        <v>438</v>
      </c>
      <c r="B371" s="46">
        <v>2</v>
      </c>
      <c r="C371" s="46"/>
      <c r="D371" s="47">
        <f t="shared" si="11"/>
        <v>2</v>
      </c>
      <c r="E371" s="46"/>
      <c r="F371" s="46"/>
      <c r="G371" s="47">
        <f t="shared" si="12"/>
        <v>2</v>
      </c>
      <c r="H371" s="48">
        <v>6500</v>
      </c>
      <c r="I371" s="35">
        <f t="shared" si="10"/>
        <v>13000</v>
      </c>
    </row>
    <row r="372" spans="1:9" x14ac:dyDescent="0.3">
      <c r="A372" s="46" t="s">
        <v>84</v>
      </c>
      <c r="B372" s="46">
        <v>3</v>
      </c>
      <c r="C372" s="46"/>
      <c r="D372" s="47">
        <f t="shared" si="11"/>
        <v>3</v>
      </c>
      <c r="E372" s="46"/>
      <c r="F372" s="46"/>
      <c r="G372" s="47">
        <f t="shared" si="12"/>
        <v>3</v>
      </c>
      <c r="H372" s="48">
        <v>1050</v>
      </c>
      <c r="I372" s="35">
        <f t="shared" si="10"/>
        <v>3150</v>
      </c>
    </row>
    <row r="373" spans="1:9" x14ac:dyDescent="0.3">
      <c r="A373" s="46" t="s">
        <v>439</v>
      </c>
      <c r="B373" s="46"/>
      <c r="C373" s="46"/>
      <c r="D373" s="47">
        <f t="shared" si="11"/>
        <v>0</v>
      </c>
      <c r="E373" s="46"/>
      <c r="F373" s="46"/>
      <c r="G373" s="47">
        <f t="shared" si="12"/>
        <v>0</v>
      </c>
      <c r="H373" s="48">
        <v>1400</v>
      </c>
      <c r="I373" s="35">
        <f t="shared" si="10"/>
        <v>0</v>
      </c>
    </row>
    <row r="374" spans="1:9" x14ac:dyDescent="0.3">
      <c r="A374" s="46" t="s">
        <v>440</v>
      </c>
      <c r="B374" s="46"/>
      <c r="C374" s="46"/>
      <c r="D374" s="47">
        <f t="shared" si="11"/>
        <v>0</v>
      </c>
      <c r="E374" s="46"/>
      <c r="F374" s="46"/>
      <c r="G374" s="47">
        <f t="shared" si="12"/>
        <v>0</v>
      </c>
      <c r="H374" s="48">
        <v>300</v>
      </c>
      <c r="I374" s="35">
        <f t="shared" si="10"/>
        <v>0</v>
      </c>
    </row>
    <row r="375" spans="1:9" x14ac:dyDescent="0.3">
      <c r="A375" s="46" t="s">
        <v>441</v>
      </c>
      <c r="B375" s="46"/>
      <c r="C375" s="46"/>
      <c r="D375" s="47">
        <f t="shared" si="11"/>
        <v>0</v>
      </c>
      <c r="E375" s="46"/>
      <c r="F375" s="46"/>
      <c r="G375" s="47">
        <f t="shared" si="12"/>
        <v>0</v>
      </c>
      <c r="H375" s="48">
        <v>7000</v>
      </c>
      <c r="I375" s="35">
        <f t="shared" si="10"/>
        <v>0</v>
      </c>
    </row>
    <row r="376" spans="1:9" x14ac:dyDescent="0.3">
      <c r="I376" s="19">
        <f>SUM(I6:I375)</f>
        <v>1610000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</vt:lpstr>
      <vt:lpstr>GEN.EXPENSES</vt:lpstr>
      <vt:lpstr>FIN. REPORT</vt:lpstr>
      <vt:lpstr>MAINTENANCE-OFFICE SUPPLIES</vt:lpstr>
      <vt:lpstr>MEDICATIONS</vt:lpstr>
      <vt:lpstr>SUMMARY</vt:lpstr>
      <vt:lpstr>LAB.</vt:lpstr>
      <vt:lpstr>STOCK</vt:lpstr>
      <vt:lpstr>CLOSING STOCK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2021-07-05T08:45:26Z</dcterms:created>
  <dcterms:modified xsi:type="dcterms:W3CDTF">2026-08-27T00:27:44Z</dcterms:modified>
</cp:coreProperties>
</file>