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Pictures\DATASET\ACIU ANALYSIS FILE\"/>
    </mc:Choice>
  </mc:AlternateContent>
  <xr:revisionPtr revIDLastSave="0" documentId="13_ncr:1_{81B43694-6A20-4D9C-B5E1-40239E5586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ctRev25" sheetId="13" r:id="rId1"/>
    <sheet name="OctExp25" sheetId="14" r:id="rId2"/>
    <sheet name="REVENUE" sheetId="2" r:id="rId3"/>
    <sheet name="ExpenseCat" sheetId="15" r:id="rId4"/>
    <sheet name="GEN.EXPENSES" sheetId="3" r:id="rId5"/>
    <sheet name="FIN. REPORT" sheetId="5" r:id="rId6"/>
    <sheet name="MAINTENANCE-OFFICE SUPPLIES" sheetId="7" r:id="rId7"/>
    <sheet name="MEDICATIONS" sheetId="8" r:id="rId8"/>
    <sheet name="SUMMARY" sheetId="10" r:id="rId9"/>
    <sheet name="LAB." sheetId="11" r:id="rId10"/>
  </sheets>
  <externalReferences>
    <externalReference r:id="rId11"/>
  </externalReferences>
  <definedNames>
    <definedName name="ExternalData_1" localSheetId="1" hidden="1">OctExp25!$A$1:$F$24</definedName>
    <definedName name="ExternalData_1" localSheetId="0" hidden="1">OctRev25!$A$1:$D$59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3" l="1"/>
  <c r="C25" i="5" l="1"/>
  <c r="B14" i="5"/>
  <c r="B13" i="5"/>
  <c r="B12" i="5"/>
  <c r="B7" i="5"/>
  <c r="B6" i="5"/>
  <c r="C4" i="5"/>
  <c r="F6" i="10"/>
  <c r="D29" i="8"/>
  <c r="E24" i="8"/>
  <c r="D30" i="8" s="1"/>
  <c r="E18" i="8"/>
  <c r="E30" i="7"/>
  <c r="E21" i="7"/>
  <c r="H54" i="2"/>
  <c r="B48" i="2"/>
  <c r="B42" i="2"/>
  <c r="K36" i="2"/>
  <c r="J36" i="2"/>
  <c r="I36" i="2"/>
  <c r="H36" i="2"/>
  <c r="F36" i="2"/>
  <c r="D36" i="2"/>
  <c r="C36" i="2"/>
  <c r="B36" i="2"/>
  <c r="G34" i="2"/>
  <c r="E34" i="2"/>
  <c r="M34" i="2" s="1"/>
  <c r="G33" i="2"/>
  <c r="E33" i="2"/>
  <c r="G32" i="2"/>
  <c r="E32" i="2"/>
  <c r="G31" i="2"/>
  <c r="M31" i="2" s="1"/>
  <c r="G30" i="2"/>
  <c r="M30" i="2" s="1"/>
  <c r="G29" i="2"/>
  <c r="E29" i="2"/>
  <c r="Q28" i="2"/>
  <c r="S28" i="2" s="1"/>
  <c r="G28" i="2"/>
  <c r="E28" i="2"/>
  <c r="Q27" i="2"/>
  <c r="S27" i="2" s="1"/>
  <c r="G27" i="2"/>
  <c r="E27" i="2"/>
  <c r="S26" i="2"/>
  <c r="T26" i="2" s="1"/>
  <c r="Q26" i="2"/>
  <c r="G26" i="2"/>
  <c r="M26" i="2" s="1"/>
  <c r="G25" i="2"/>
  <c r="M25" i="2" s="1"/>
  <c r="G24" i="2"/>
  <c r="E24" i="2"/>
  <c r="G23" i="2"/>
  <c r="E23" i="2"/>
  <c r="M23" i="2" s="1"/>
  <c r="G22" i="2"/>
  <c r="E22" i="2"/>
  <c r="G21" i="2"/>
  <c r="M21" i="2" s="1"/>
  <c r="G20" i="2"/>
  <c r="E20" i="2"/>
  <c r="M20" i="2" s="1"/>
  <c r="L19" i="2"/>
  <c r="G19" i="2"/>
  <c r="E19" i="2"/>
  <c r="G18" i="2"/>
  <c r="E18" i="2"/>
  <c r="G17" i="2"/>
  <c r="E17" i="2"/>
  <c r="G16" i="2"/>
  <c r="E16" i="2"/>
  <c r="G15" i="2"/>
  <c r="M15" i="2" s="1"/>
  <c r="L14" i="2"/>
  <c r="L36" i="2" s="1"/>
  <c r="G14" i="2"/>
  <c r="G13" i="2"/>
  <c r="E13" i="2"/>
  <c r="G12" i="2"/>
  <c r="E12" i="2"/>
  <c r="M12" i="2" s="1"/>
  <c r="G11" i="2"/>
  <c r="E11" i="2"/>
  <c r="G10" i="2"/>
  <c r="E10" i="2"/>
  <c r="G9" i="2"/>
  <c r="E9" i="2"/>
  <c r="G8" i="2"/>
  <c r="M8" i="2" s="1"/>
  <c r="G7" i="2"/>
  <c r="E7" i="2"/>
  <c r="G6" i="2"/>
  <c r="E6" i="2"/>
  <c r="M6" i="2" s="1"/>
  <c r="G5" i="2"/>
  <c r="E5" i="2"/>
  <c r="G4" i="2"/>
  <c r="E4" i="2"/>
  <c r="C25" i="11"/>
  <c r="C16" i="11"/>
  <c r="C9" i="11"/>
  <c r="E36" i="2" l="1"/>
  <c r="C4" i="11" s="1"/>
  <c r="C10" i="11" s="1"/>
  <c r="C17" i="11" s="1"/>
  <c r="C26" i="11" s="1"/>
  <c r="M17" i="2"/>
  <c r="M32" i="2"/>
  <c r="M10" i="2"/>
  <c r="M14" i="2"/>
  <c r="Q31" i="2"/>
  <c r="H53" i="2" s="1"/>
  <c r="H55" i="2" s="1"/>
  <c r="H57" i="2" s="1"/>
  <c r="G36" i="2"/>
  <c r="C16" i="5"/>
  <c r="M4" i="2"/>
  <c r="M9" i="2"/>
  <c r="M11" i="2"/>
  <c r="M13" i="2"/>
  <c r="M19" i="2"/>
  <c r="C9" i="5"/>
  <c r="C10" i="5" s="1"/>
  <c r="C17" i="5" s="1"/>
  <c r="C26" i="5" s="1"/>
  <c r="M5" i="2"/>
  <c r="M7" i="2"/>
  <c r="M16" i="2"/>
  <c r="M18" i="2"/>
  <c r="M22" i="2"/>
  <c r="M24" i="2"/>
  <c r="M27" i="2"/>
  <c r="M28" i="2"/>
  <c r="M29" i="2"/>
  <c r="M33" i="2"/>
  <c r="H45" i="2"/>
  <c r="D32" i="8"/>
  <c r="E26" i="8"/>
  <c r="T27" i="2"/>
  <c r="T28" i="2" s="1"/>
  <c r="H43" i="2" l="1"/>
  <c r="H46" i="2" s="1"/>
  <c r="H48" i="2" s="1"/>
  <c r="F12" i="10" s="1"/>
  <c r="M36" i="2"/>
  <c r="D40" i="2" l="1"/>
  <c r="D47" i="2"/>
  <c r="D43" i="2"/>
  <c r="D48" i="2"/>
  <c r="D39" i="2"/>
  <c r="D42" i="2"/>
  <c r="D46" i="2"/>
  <c r="D41" i="2"/>
  <c r="D49" i="2"/>
  <c r="D45" i="2"/>
  <c r="D44" i="2"/>
  <c r="F3" i="10"/>
  <c r="D50" i="2" l="1"/>
  <c r="F14" i="10"/>
  <c r="F4" i="10" l="1"/>
  <c r="F5" i="10" s="1"/>
  <c r="F7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22AFDD-8436-443B-9775-E3B053997C6E}" keepAlive="1" name="Query - ExpenseCat" description="Connection to the 'ExpenseCat' query in the workbook." type="5" refreshedVersion="0" background="1">
    <dbPr connection="Provider=Microsoft.Mashup.OleDb.1;Data Source=$Workbook$;Location=ExpenseCat;Extended Properties=&quot;&quot;" command="SELECT * FROM [ExpenseCat]"/>
  </connection>
  <connection id="2" xr16:uid="{AEAECBA4-09F3-455A-9614-CA01443DECAE}" keepAlive="1" name="Query - OctExp25" description="Connection to the 'OctExp25' query in the workbook." type="5" refreshedVersion="8" background="1" saveData="1">
    <dbPr connection="Provider=Microsoft.Mashup.OleDb.1;Data Source=$Workbook$;Location=OctExp25;Extended Properties=&quot;&quot;" command="SELECT * FROM [OctExp25]"/>
  </connection>
  <connection id="3" xr16:uid="{15645453-27C8-4B6C-B427-C8BBA10AC7DA}" keepAlive="1" name="Query - OctRev25" description="Connection to the 'OctRev25' query in the workbook." type="5" refreshedVersion="8" background="1" saveData="1">
    <dbPr connection="Provider=Microsoft.Mashup.OleDb.1;Data Source=$Workbook$;Location=OctRev25;Extended Properties=&quot;&quot;" command="SELECT * FROM [OctRev25]"/>
  </connection>
</connections>
</file>

<file path=xl/sharedStrings.xml><?xml version="1.0" encoding="utf-8"?>
<sst xmlns="http://schemas.openxmlformats.org/spreadsheetml/2006/main" count="491" uniqueCount="154">
  <si>
    <t>AMOUNT</t>
  </si>
  <si>
    <t>DATE</t>
  </si>
  <si>
    <t>CARD</t>
  </si>
  <si>
    <t>LAB</t>
  </si>
  <si>
    <t>BED</t>
  </si>
  <si>
    <t>DRUGS</t>
  </si>
  <si>
    <t>DELIVERY</t>
  </si>
  <si>
    <t>MENTAL</t>
  </si>
  <si>
    <t>DRESSING</t>
  </si>
  <si>
    <t>TOTAL</t>
  </si>
  <si>
    <t>%</t>
  </si>
  <si>
    <t>Invoice No.</t>
  </si>
  <si>
    <t>PARTICULARS</t>
  </si>
  <si>
    <t xml:space="preserve"> </t>
  </si>
  <si>
    <t>N</t>
  </si>
  <si>
    <t>Add Carriage</t>
  </si>
  <si>
    <t>COST OF SALES</t>
  </si>
  <si>
    <t>GROSS PROFIT</t>
  </si>
  <si>
    <t>EXPENSES</t>
  </si>
  <si>
    <t>SALARIES</t>
  </si>
  <si>
    <t>POWER/LIGHTING</t>
  </si>
  <si>
    <t>TRANSPORT</t>
  </si>
  <si>
    <t>NET PROFIT/LOSS</t>
  </si>
  <si>
    <t>SALES</t>
  </si>
  <si>
    <t>OTHER</t>
  </si>
  <si>
    <t>REVENUE (CASH)</t>
  </si>
  <si>
    <t>BALANCE</t>
  </si>
  <si>
    <t>B/F</t>
  </si>
  <si>
    <t>Add PURCHASES</t>
  </si>
  <si>
    <t>INCOME</t>
  </si>
  <si>
    <t>SUMMARY</t>
  </si>
  <si>
    <t>DEPOSITE INTO ACIU ACOUNT</t>
  </si>
  <si>
    <t>BAL B/D</t>
  </si>
  <si>
    <t>GRAND TOTAL</t>
  </si>
  <si>
    <t>SURGERY</t>
  </si>
  <si>
    <t>OFFICE SUPPLIES</t>
  </si>
  <si>
    <t>INDEGENT</t>
  </si>
  <si>
    <t xml:space="preserve">WATER </t>
  </si>
  <si>
    <t>SURCHARGE</t>
  </si>
  <si>
    <t>WAGES</t>
  </si>
  <si>
    <t>ACTUAL NET PROFIT</t>
  </si>
  <si>
    <t>WATER</t>
  </si>
  <si>
    <t>P. REPORT</t>
  </si>
  <si>
    <t>P.REPORT</t>
  </si>
  <si>
    <t>FUEL</t>
  </si>
  <si>
    <t>PSYCHIATRICS</t>
  </si>
  <si>
    <t>TOTAL AMOUNT</t>
  </si>
  <si>
    <t>BAL. B/F</t>
  </si>
  <si>
    <t>OTHER POINTS TO NOTE</t>
  </si>
  <si>
    <t>medi</t>
  </si>
  <si>
    <t>carriage</t>
  </si>
  <si>
    <t xml:space="preserve">STORE PURCHASE:MEDICINE </t>
  </si>
  <si>
    <t>EKWUEME</t>
  </si>
  <si>
    <t>WAYBILL</t>
  </si>
  <si>
    <t>BLOOMS</t>
  </si>
  <si>
    <t>BLOOMS SCHOLARS</t>
  </si>
  <si>
    <t>PLUMBING WORK</t>
  </si>
  <si>
    <t>REFUND TO REV</t>
  </si>
  <si>
    <t>REPAIR OF THANK</t>
  </si>
  <si>
    <t>STATEMENT OF FINANCIAL PERFORMANCE FOR THE MONTH ENDED 30/9/2025</t>
  </si>
  <si>
    <t>CHRONIC HEALTH</t>
  </si>
  <si>
    <t>REVENUE ASSURANCE REPORT FOR OCTOBER 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</si>
  <si>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</si>
  <si>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</si>
  <si>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</si>
  <si>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</si>
  <si>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</si>
  <si>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</si>
  <si>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</si>
  <si>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</si>
  <si>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</si>
  <si>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</si>
  <si>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</si>
  <si>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</si>
  <si>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</si>
  <si>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</si>
  <si>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</si>
  <si>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</si>
  <si>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</si>
  <si>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</si>
  <si>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REFUND TO CHARLSE</t>
  </si>
  <si>
    <t>GRACE &amp; MERCY</t>
  </si>
  <si>
    <t>STORE PURCHASE:STRIP</t>
  </si>
  <si>
    <t>PLUMBING MATERIAL</t>
  </si>
  <si>
    <t>LABOUR</t>
  </si>
  <si>
    <t>POVIDON</t>
  </si>
  <si>
    <t>OFFICE SUPPLY : EXERCISE BOOKS, BATTERY</t>
  </si>
  <si>
    <t>STORE PURCHASE:MEDICINE (LOCAL)</t>
  </si>
  <si>
    <t>REPAIR OF GEN</t>
  </si>
  <si>
    <t>PLASTER</t>
  </si>
  <si>
    <t>REFUND</t>
  </si>
  <si>
    <t>REPAIR OF CHANGE OVER</t>
  </si>
  <si>
    <t>TRANSPORT FOR CHINENYE</t>
  </si>
  <si>
    <t xml:space="preserve">CARRIAGE </t>
  </si>
  <si>
    <t>ALVICE MEDICALS</t>
  </si>
  <si>
    <t>BLESSED MEKUS</t>
  </si>
  <si>
    <t>BANK CHARGES</t>
  </si>
  <si>
    <t>TOTAL CASH FOR THE MONTH OF OCTOMBER 2025</t>
  </si>
  <si>
    <t>STATEMENT OF FINANCIAL PERFORMANCE FOR THE MONTH ENDED 31/10/2025</t>
  </si>
  <si>
    <t xml:space="preserve"> Stock @ 1/10/2025</t>
  </si>
  <si>
    <t>Less STOCK AS AT 31/10/2025</t>
  </si>
  <si>
    <t>DEMENTIA</t>
  </si>
  <si>
    <t>ACTUAL NET LOSS</t>
  </si>
  <si>
    <t xml:space="preserve">WE STILL HAVE STOCK (MEDICATION) VALUED N1,450,000 AT COST PRICE AND DEBT OF N394,730. </t>
  </si>
  <si>
    <t>CASH RECEIVED IS N925,150</t>
  </si>
  <si>
    <t>CASH EARNED THROUGH INDEGENT,DELIVERY SUBSIDY, DEMENTIA,CHRONIC CARE AND BLOOM SCHOLARS N448,000</t>
  </si>
  <si>
    <t>TOTAT CASH IN BANK N1,237,700</t>
  </si>
  <si>
    <t>Revenue Category</t>
  </si>
  <si>
    <t>Amount</t>
  </si>
  <si>
    <t>Source Month</t>
  </si>
  <si>
    <t>Oct-2025</t>
  </si>
  <si>
    <t>SUPPLIER</t>
  </si>
  <si>
    <t>MEDICINE</t>
  </si>
  <si>
    <t>Medication</t>
  </si>
  <si>
    <t>SYRINGE</t>
  </si>
  <si>
    <t>Medical Supplies</t>
  </si>
  <si>
    <t>GLOVE</t>
  </si>
  <si>
    <t>NORMAL SALINE</t>
  </si>
  <si>
    <t>SURGICAL EXPENSES</t>
  </si>
  <si>
    <t>OFFICE SUPPLY</t>
  </si>
  <si>
    <t>Office Supplies</t>
  </si>
  <si>
    <t>Fuel</t>
  </si>
  <si>
    <t>ENGINE OIL</t>
  </si>
  <si>
    <t>Maintenance</t>
  </si>
  <si>
    <t>CEMENT</t>
  </si>
  <si>
    <t>REPAIR</t>
  </si>
  <si>
    <t>CIRCUMCISION</t>
  </si>
  <si>
    <t>Transportation</t>
  </si>
  <si>
    <t>CARRIAGE</t>
  </si>
  <si>
    <t>FOLDER</t>
  </si>
  <si>
    <t>Printing/Stationery</t>
  </si>
  <si>
    <t>Keyword</t>
  </si>
  <si>
    <t>Expense Category</t>
  </si>
  <si>
    <t>PLUMBING</t>
  </si>
  <si>
    <t>STRIP</t>
  </si>
  <si>
    <t>CHARGES</t>
  </si>
  <si>
    <t>PAPER</t>
  </si>
  <si>
    <t>PAINTING</t>
  </si>
  <si>
    <t>BASIN &amp; BASKET</t>
  </si>
  <si>
    <t>LANCET</t>
  </si>
  <si>
    <t>WEEDING</t>
  </si>
  <si>
    <t>POLICE</t>
  </si>
  <si>
    <t>JAMES</t>
  </si>
  <si>
    <t>SOLAR</t>
  </si>
  <si>
    <t>BATTERY</t>
  </si>
  <si>
    <t>FEEDING FOR PATIENT</t>
  </si>
  <si>
    <t>OXYGEN</t>
  </si>
  <si>
    <t>INFUSION</t>
  </si>
  <si>
    <t>SNACKS FOR PATIENT</t>
  </si>
  <si>
    <t>MOP</t>
  </si>
  <si>
    <t>WASHING</t>
  </si>
  <si>
    <t>SALARY</t>
  </si>
  <si>
    <t>Salary</t>
  </si>
  <si>
    <t>40 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</si>
</sst>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4" fontId="0" fillId="0" borderId="0" xfId="0" applyNumberFormat="1"/>
    <xf numFmtId="0" fontId="0" fillId="0" borderId="1" xfId="0" applyBorder="1"/>
    <xf numFmtId="4" fontId="0" fillId="0" borderId="2" xfId="0" applyNumberFormat="1" applyBorder="1"/>
    <xf numFmtId="4" fontId="3" fillId="0" borderId="3" xfId="0" applyNumberFormat="1" applyFont="1" applyBorder="1"/>
    <xf numFmtId="4" fontId="3" fillId="0" borderId="0" xfId="0" applyNumberFormat="1" applyFont="1"/>
    <xf numFmtId="0" fontId="4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2" borderId="0" xfId="0" applyFont="1" applyFill="1"/>
    <xf numFmtId="0" fontId="2" fillId="0" borderId="4" xfId="0" applyFont="1" applyBorder="1"/>
    <xf numFmtId="0" fontId="5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wrapText="1"/>
    </xf>
    <xf numFmtId="164" fontId="5" fillId="0" borderId="0" xfId="0" applyNumberFormat="1" applyFont="1"/>
    <xf numFmtId="0" fontId="0" fillId="0" borderId="0" xfId="0" applyAlignment="1">
      <alignment horizontal="right" wrapText="1"/>
    </xf>
    <xf numFmtId="0" fontId="0" fillId="0" borderId="0" xfId="0" applyAlignment="1">
      <alignment horizontal="right"/>
    </xf>
    <xf numFmtId="0" fontId="0" fillId="0" borderId="5" xfId="0" applyBorder="1"/>
    <xf numFmtId="0" fontId="0" fillId="0" borderId="5" xfId="0" applyBorder="1" applyAlignment="1">
      <alignment wrapText="1"/>
    </xf>
    <xf numFmtId="0" fontId="0" fillId="3" borderId="5" xfId="0" applyFill="1" applyBorder="1"/>
    <xf numFmtId="14" fontId="0" fillId="0" borderId="5" xfId="0" applyNumberFormat="1" applyBorder="1" applyAlignment="1">
      <alignment horizontal="left" wrapText="1"/>
    </xf>
    <xf numFmtId="0" fontId="0" fillId="3" borderId="5" xfId="0" applyFill="1" applyBorder="1" applyAlignment="1">
      <alignment wrapText="1"/>
    </xf>
    <xf numFmtId="0" fontId="1" fillId="0" borderId="5" xfId="0" applyFont="1" applyBorder="1" applyAlignment="1">
      <alignment horizontal="right"/>
    </xf>
    <xf numFmtId="164" fontId="0" fillId="0" borderId="0" xfId="0" applyNumberFormat="1"/>
    <xf numFmtId="0" fontId="1" fillId="3" borderId="0" xfId="0" applyFont="1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4" xfId="0" applyFont="1" applyBorder="1"/>
    <xf numFmtId="0" fontId="3" fillId="0" borderId="0" xfId="0" applyFont="1" applyAlignment="1">
      <alignment horizontal="left"/>
    </xf>
    <xf numFmtId="14" fontId="0" fillId="0" borderId="0" xfId="0" applyNumberFormat="1"/>
    <xf numFmtId="0" fontId="0" fillId="3" borderId="6" xfId="0" applyFill="1" applyBorder="1"/>
    <xf numFmtId="0" fontId="0" fillId="0" borderId="8" xfId="0" applyBorder="1" applyAlignment="1">
      <alignment wrapText="1"/>
    </xf>
    <xf numFmtId="0" fontId="0" fillId="0" borderId="11" xfId="0" applyBorder="1"/>
    <xf numFmtId="0" fontId="0" fillId="4" borderId="9" xfId="0" applyFill="1" applyBorder="1" applyAlignment="1">
      <alignment vertical="center" wrapText="1"/>
    </xf>
    <xf numFmtId="0" fontId="0" fillId="4" borderId="10" xfId="0" applyFill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2" fillId="0" borderId="0" xfId="0" applyFont="1" applyAlignment="1">
      <alignment horizontal="center"/>
    </xf>
    <xf numFmtId="0" fontId="6" fillId="0" borderId="9" xfId="0" applyFont="1" applyBorder="1" applyAlignment="1">
      <alignment vertical="center" wrapText="1"/>
    </xf>
    <xf numFmtId="0" fontId="6" fillId="0" borderId="10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14" fontId="1" fillId="0" borderId="14" xfId="0" applyNumberFormat="1" applyFont="1" applyBorder="1" applyAlignment="1">
      <alignment horizontal="right"/>
    </xf>
    <xf numFmtId="0" fontId="0" fillId="3" borderId="7" xfId="0" applyFill="1" applyBorder="1" applyAlignment="1">
      <alignment wrapText="1"/>
    </xf>
    <xf numFmtId="3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8"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right" vertical="bottom" textRotation="0" wrapText="0" indent="0" justifyLastLine="0" shrinkToFit="0" readingOrder="0"/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CIU-NA%20MEDICAL%20COMPLEX%20MONTHLY%20REPORT%20FOR%20OCT%202025%20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OCK"/>
      <sheetName val="REVENUE"/>
      <sheetName val="IMPREST"/>
      <sheetName val="EXPENSE GROUPING"/>
      <sheetName val="FIN. REPORT"/>
      <sheetName val="Sheet3"/>
      <sheetName val="MAINTENANCE-OFFICE SUPPLIES"/>
      <sheetName val="MEDICATIONS"/>
      <sheetName val="Sheet1"/>
      <sheetName val="CLOSING STOCK"/>
      <sheetName val="Sheet2"/>
    </sheetNames>
    <sheetDataSet>
      <sheetData sheetId="0"/>
      <sheetData sheetId="1">
        <row r="35">
          <cell r="M35">
            <v>2163050</v>
          </cell>
        </row>
      </sheetData>
      <sheetData sheetId="2">
        <row r="39">
          <cell r="E39">
            <v>1072465</v>
          </cell>
        </row>
      </sheetData>
      <sheetData sheetId="3"/>
      <sheetData sheetId="4"/>
      <sheetData sheetId="5"/>
      <sheetData sheetId="6">
        <row r="21">
          <cell r="E21">
            <v>178165</v>
          </cell>
        </row>
        <row r="30">
          <cell r="E30">
            <v>101000</v>
          </cell>
        </row>
      </sheetData>
      <sheetData sheetId="7">
        <row r="18">
          <cell r="E18">
            <v>788300</v>
          </cell>
        </row>
        <row r="24">
          <cell r="E24">
            <v>5000</v>
          </cell>
        </row>
      </sheetData>
      <sheetData sheetId="8"/>
      <sheetData sheetId="9"/>
      <sheetData sheetId="1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BA44F94-43FA-444F-8EDE-03B1BB6B19E6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Revenue Category" tableColumnId="2"/>
      <queryTableField id="3" name="Amount" tableColumnId="3"/>
      <queryTableField id="4" name="Source Month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B353F1E-4B1C-4419-A315-87C521DD94D4}" autoFormatId="16" applyNumberFormats="0" applyBorderFormats="0" applyFontFormats="0" applyPatternFormats="0" applyAlignmentFormats="0" applyWidthHeightFormats="0">
  <queryTableRefresh nextId="8">
    <queryTableFields count="6">
      <queryTableField id="1" name="DATE" tableColumnId="1"/>
      <queryTableField id="2" name="PARTICULARS" tableColumnId="2"/>
      <queryTableField id="5" name="Expense Category" tableColumnId="5"/>
      <queryTableField id="3" name="SUPPLIER" tableColumnId="3"/>
      <queryTableField id="4" name="AMOUNT" tableColumnId="4"/>
      <queryTableField id="7" name="Source Month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968BB9-BBB6-499B-9B72-AE46CBEC8F80}" name="OctRev25" displayName="OctRev25" ref="A1:D59" tableType="queryTable" totalsRowShown="0">
  <autoFilter ref="A1:D59" xr:uid="{DE968BB9-BBB6-499B-9B72-AE46CBEC8F80}"/>
  <tableColumns count="4">
    <tableColumn id="1" xr3:uid="{DFAECA7C-5F88-4393-BA13-F53725F4ACB0}" uniqueName="1" name="DATE" queryTableFieldId="1" dataDxfId="0"/>
    <tableColumn id="2" xr3:uid="{5AA2F581-8823-4119-B86E-CDC96AB79CF0}" uniqueName="2" name="Revenue Category" queryTableFieldId="2" dataDxfId="27"/>
    <tableColumn id="3" xr3:uid="{40A60103-3299-4728-9E71-A37A60679D86}" uniqueName="3" name="Amount" queryTableFieldId="3"/>
    <tableColumn id="4" xr3:uid="{5BA34876-796A-4D8E-B20B-C98A19AC91B3}" uniqueName="4" name="Source Month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1F5841-2081-4735-AEDA-EE06A6265A27}" name="OctExp25" displayName="OctExp25" ref="A1:F24" tableType="queryTable" totalsRowShown="0">
  <autoFilter ref="A1:F24" xr:uid="{541F5841-2081-4735-AEDA-EE06A6265A27}"/>
  <tableColumns count="6">
    <tableColumn id="1" xr3:uid="{DCB9CB8B-9AB4-4A5F-9D73-0871FF129928}" uniqueName="1" name="DATE" queryTableFieldId="1" dataDxfId="3"/>
    <tableColumn id="2" xr3:uid="{E4DBB9F1-2754-4411-94C2-562CFDE4479F}" uniqueName="2" name="PARTICULARS" queryTableFieldId="2" dataDxfId="2"/>
    <tableColumn id="5" xr3:uid="{F167D48A-4906-42D1-860D-2CA4AA8C8104}" uniqueName="5" name="Expense Category" queryTableFieldId="5"/>
    <tableColumn id="3" xr3:uid="{8700EE89-3A25-46DF-AFAB-B4A211F3B534}" uniqueName="3" name="SUPPLIER" queryTableFieldId="3" dataDxfId="1"/>
    <tableColumn id="4" xr3:uid="{D523D5D7-E870-4891-A9DC-8E41B10D575D}" uniqueName="4" name="AMOUNT" queryTableFieldId="4"/>
    <tableColumn id="6" xr3:uid="{30D5C01C-5BA2-45AD-B5B4-A0351813CCB2}" uniqueName="6" name="Source Month" queryTableFieldId="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7E4E98-94F4-4B0B-8CF0-4BEACA9CB3AE}" name="Table1" displayName="Table1" ref="A3:L34" totalsRowShown="0" headerRowDxfId="26" dataDxfId="25">
  <autoFilter ref="A3:L34" xr:uid="{897E4E98-94F4-4B0B-8CF0-4BEACA9CB3AE}"/>
  <tableColumns count="12">
    <tableColumn id="1" xr3:uid="{A8847CB5-1939-4885-99E2-380A020DFAA9}" name="DATE" dataDxfId="24"/>
    <tableColumn id="2" xr3:uid="{CA2AF493-8BE4-4734-A038-5400C53EAED1}" name="CARD" dataDxfId="23"/>
    <tableColumn id="3" xr3:uid="{CAF23926-7DAC-4DE2-B262-A0F4DCC52B52}" name="SURCHARGE" dataDxfId="22"/>
    <tableColumn id="4" xr3:uid="{58A32B02-AB7D-42DD-8FFF-98E5659B1387}" name="SURGERY" dataDxfId="21"/>
    <tableColumn id="5" xr3:uid="{7888E4A7-C42E-45F2-8E25-EA501947D067}" name="LAB" dataDxfId="20"/>
    <tableColumn id="6" xr3:uid="{321C51A0-9DBB-4709-96DA-1D7F225DFA82}" name="BED" dataDxfId="19"/>
    <tableColumn id="7" xr3:uid="{ADA198F6-FA98-40B6-A795-878D3E4E4984}" name="DRUGS" dataDxfId="18"/>
    <tableColumn id="8" xr3:uid="{1CD0C0F2-25CD-4503-BB44-E6D3D751CF99}" name="DELIVERY" dataDxfId="17"/>
    <tableColumn id="9" xr3:uid="{8E5662F7-4C30-46E8-8D29-8143562E5B4A}" name="MENTAL" dataDxfId="16"/>
    <tableColumn id="10" xr3:uid="{ED164B33-F2D9-47FA-B1B1-392A448EF4C6}" name="WATER " dataDxfId="15"/>
    <tableColumn id="11" xr3:uid="{4A62927D-890C-4AF6-9F94-F5D21A014CDC}" name="P. REPORT" dataDxfId="14"/>
    <tableColumn id="12" xr3:uid="{F692BD1B-7387-4FBF-8AD4-D2E4FA0ECBD8}" name="DRESSING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F29C1DB-BA58-4A22-A1C7-E75F83ECCD7B}" name="Table5" displayName="Table5" ref="A1:B41" totalsRowShown="0" tableBorderDxfId="12">
  <autoFilter ref="A1:B41" xr:uid="{5F29C1DB-BA58-4A22-A1C7-E75F83ECCD7B}"/>
  <tableColumns count="2">
    <tableColumn id="1" xr3:uid="{1ECD7657-9C64-4484-A7A3-BC450ECAB7C1}" name="Keyword" dataDxfId="11"/>
    <tableColumn id="2" xr3:uid="{8F044BE5-56F4-49E5-9EC9-5C8E0D37F249}" name="Expense Category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847F56-8DFC-417B-BF9F-482DF1D2D20F}" name="Table3" displayName="Table3" ref="A1:D24" totalsRowShown="0" headerRowBorderDxfId="9" tableBorderDxfId="8">
  <autoFilter ref="A1:D24" xr:uid="{82847F56-8DFC-417B-BF9F-482DF1D2D20F}"/>
  <tableColumns count="4">
    <tableColumn id="1" xr3:uid="{B6ABA003-0682-4CA0-9C34-F2593C96DA3A}" name="DATE" dataDxfId="7"/>
    <tableColumn id="2" xr3:uid="{2B7E1578-7618-4EF3-A5B4-FC7058FFE942}" name="PARTICULARS" dataDxfId="6"/>
    <tableColumn id="3" xr3:uid="{4D99AB2B-F56B-4C19-A3C8-D49308305849}" name="SUPPLIER" dataDxfId="5"/>
    <tableColumn id="4" xr3:uid="{DAABAF5B-3892-410F-941C-F02C127CA062}" name="AMOUNT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C931A-580B-490A-9B36-5596DE6FBD92}">
  <dimension ref="A1:D59"/>
  <sheetViews>
    <sheetView tabSelected="1" workbookViewId="0">
      <selection activeCell="M9" sqref="M9"/>
    </sheetView>
  </sheetViews>
  <sheetFormatPr defaultRowHeight="14.4" x14ac:dyDescent="0.3"/>
  <cols>
    <col min="1" max="1" width="10.5546875" bestFit="1" customWidth="1"/>
    <col min="2" max="2" width="18.6640625" bestFit="1" customWidth="1"/>
    <col min="3" max="3" width="10.109375" bestFit="1" customWidth="1"/>
    <col min="4" max="4" width="15.33203125" bestFit="1" customWidth="1"/>
  </cols>
  <sheetData>
    <row r="1" spans="1:4" x14ac:dyDescent="0.3">
      <c r="A1" t="s">
        <v>1</v>
      </c>
      <c r="B1" t="s">
        <v>107</v>
      </c>
      <c r="C1" t="s">
        <v>108</v>
      </c>
      <c r="D1" t="s">
        <v>109</v>
      </c>
    </row>
    <row r="2" spans="1:4" x14ac:dyDescent="0.3">
      <c r="A2" s="35">
        <v>45931</v>
      </c>
      <c r="B2" t="s">
        <v>3</v>
      </c>
      <c r="C2">
        <v>12000</v>
      </c>
      <c r="D2" t="s">
        <v>110</v>
      </c>
    </row>
    <row r="3" spans="1:4" x14ac:dyDescent="0.3">
      <c r="A3" s="35">
        <v>45931</v>
      </c>
      <c r="B3" t="s">
        <v>5</v>
      </c>
      <c r="C3">
        <v>4500</v>
      </c>
      <c r="D3" t="s">
        <v>110</v>
      </c>
    </row>
    <row r="4" spans="1:4" x14ac:dyDescent="0.3">
      <c r="A4" s="35">
        <v>45932</v>
      </c>
      <c r="B4" t="s">
        <v>3</v>
      </c>
      <c r="C4">
        <v>17000</v>
      </c>
      <c r="D4" t="s">
        <v>110</v>
      </c>
    </row>
    <row r="5" spans="1:4" x14ac:dyDescent="0.3">
      <c r="A5" s="35">
        <v>45932</v>
      </c>
      <c r="B5" t="s">
        <v>5</v>
      </c>
      <c r="C5">
        <v>162850</v>
      </c>
      <c r="D5" t="s">
        <v>110</v>
      </c>
    </row>
    <row r="6" spans="1:4" x14ac:dyDescent="0.3">
      <c r="A6" s="35">
        <v>45933</v>
      </c>
      <c r="B6" t="s">
        <v>3</v>
      </c>
      <c r="C6">
        <v>23500</v>
      </c>
      <c r="D6" t="s">
        <v>110</v>
      </c>
    </row>
    <row r="7" spans="1:4" x14ac:dyDescent="0.3">
      <c r="A7" s="35">
        <v>45933</v>
      </c>
      <c r="B7" t="s">
        <v>5</v>
      </c>
      <c r="C7">
        <v>93600</v>
      </c>
      <c r="D7" t="s">
        <v>110</v>
      </c>
    </row>
    <row r="8" spans="1:4" x14ac:dyDescent="0.3">
      <c r="A8" s="35">
        <v>45934</v>
      </c>
      <c r="B8" t="s">
        <v>3</v>
      </c>
      <c r="C8">
        <v>19000</v>
      </c>
      <c r="D8" t="s">
        <v>110</v>
      </c>
    </row>
    <row r="9" spans="1:4" x14ac:dyDescent="0.3">
      <c r="A9" s="35">
        <v>45934</v>
      </c>
      <c r="B9" t="s">
        <v>5</v>
      </c>
      <c r="C9">
        <v>76700</v>
      </c>
      <c r="D9" t="s">
        <v>110</v>
      </c>
    </row>
    <row r="10" spans="1:4" x14ac:dyDescent="0.3">
      <c r="A10" s="35">
        <v>45935</v>
      </c>
      <c r="B10" t="s">
        <v>5</v>
      </c>
      <c r="C10">
        <v>161300</v>
      </c>
      <c r="D10" t="s">
        <v>110</v>
      </c>
    </row>
    <row r="11" spans="1:4" x14ac:dyDescent="0.3">
      <c r="A11" s="35">
        <v>45936</v>
      </c>
      <c r="B11" t="s">
        <v>3</v>
      </c>
      <c r="C11">
        <v>15000</v>
      </c>
      <c r="D11" t="s">
        <v>110</v>
      </c>
    </row>
    <row r="12" spans="1:4" x14ac:dyDescent="0.3">
      <c r="A12" s="35">
        <v>45936</v>
      </c>
      <c r="B12" t="s">
        <v>5</v>
      </c>
      <c r="C12">
        <v>25000</v>
      </c>
      <c r="D12" t="s">
        <v>110</v>
      </c>
    </row>
    <row r="13" spans="1:4" x14ac:dyDescent="0.3">
      <c r="A13" s="35">
        <v>45937</v>
      </c>
      <c r="B13" t="s">
        <v>3</v>
      </c>
      <c r="C13">
        <v>24000</v>
      </c>
      <c r="D13" t="s">
        <v>110</v>
      </c>
    </row>
    <row r="14" spans="1:4" x14ac:dyDescent="0.3">
      <c r="A14" s="35">
        <v>45937</v>
      </c>
      <c r="B14" t="s">
        <v>5</v>
      </c>
      <c r="C14">
        <v>53800</v>
      </c>
      <c r="D14" t="s">
        <v>110</v>
      </c>
    </row>
    <row r="15" spans="1:4" x14ac:dyDescent="0.3">
      <c r="A15" s="35">
        <v>45937</v>
      </c>
      <c r="B15" t="s">
        <v>8</v>
      </c>
      <c r="C15">
        <v>10000</v>
      </c>
      <c r="D15" t="s">
        <v>110</v>
      </c>
    </row>
    <row r="16" spans="1:4" x14ac:dyDescent="0.3">
      <c r="A16" s="35">
        <v>45938</v>
      </c>
      <c r="B16" t="s">
        <v>3</v>
      </c>
      <c r="C16">
        <v>6000</v>
      </c>
      <c r="D16" t="s">
        <v>110</v>
      </c>
    </row>
    <row r="17" spans="1:4" x14ac:dyDescent="0.3">
      <c r="A17" s="35">
        <v>45938</v>
      </c>
      <c r="B17" t="s">
        <v>5</v>
      </c>
      <c r="C17">
        <v>17000</v>
      </c>
      <c r="D17" t="s">
        <v>110</v>
      </c>
    </row>
    <row r="18" spans="1:4" x14ac:dyDescent="0.3">
      <c r="A18" s="35">
        <v>45938</v>
      </c>
      <c r="B18" t="s">
        <v>8</v>
      </c>
      <c r="C18">
        <v>1000</v>
      </c>
      <c r="D18" t="s">
        <v>110</v>
      </c>
    </row>
    <row r="19" spans="1:4" x14ac:dyDescent="0.3">
      <c r="A19" s="35">
        <v>45939</v>
      </c>
      <c r="B19" t="s">
        <v>3</v>
      </c>
      <c r="C19">
        <v>23000</v>
      </c>
      <c r="D19" t="s">
        <v>110</v>
      </c>
    </row>
    <row r="20" spans="1:4" x14ac:dyDescent="0.3">
      <c r="A20" s="35">
        <v>45939</v>
      </c>
      <c r="B20" t="s">
        <v>5</v>
      </c>
      <c r="C20">
        <v>27700</v>
      </c>
      <c r="D20" t="s">
        <v>110</v>
      </c>
    </row>
    <row r="21" spans="1:4" x14ac:dyDescent="0.3">
      <c r="A21" s="35">
        <v>45940</v>
      </c>
      <c r="B21" t="s">
        <v>3</v>
      </c>
      <c r="C21">
        <v>9000</v>
      </c>
      <c r="D21" t="s">
        <v>110</v>
      </c>
    </row>
    <row r="22" spans="1:4" x14ac:dyDescent="0.3">
      <c r="A22" s="35">
        <v>45940</v>
      </c>
      <c r="B22" t="s">
        <v>5</v>
      </c>
      <c r="C22">
        <v>16900</v>
      </c>
      <c r="D22" t="s">
        <v>110</v>
      </c>
    </row>
    <row r="23" spans="1:4" x14ac:dyDescent="0.3">
      <c r="A23" s="35">
        <v>45941</v>
      </c>
      <c r="B23" t="s">
        <v>5</v>
      </c>
      <c r="C23">
        <v>41000</v>
      </c>
      <c r="D23" t="s">
        <v>110</v>
      </c>
    </row>
    <row r="24" spans="1:4" x14ac:dyDescent="0.3">
      <c r="A24" s="35">
        <v>45941</v>
      </c>
      <c r="B24" t="s">
        <v>8</v>
      </c>
      <c r="C24">
        <v>1000</v>
      </c>
      <c r="D24" t="s">
        <v>110</v>
      </c>
    </row>
    <row r="25" spans="1:4" x14ac:dyDescent="0.3">
      <c r="A25" s="35">
        <v>45942</v>
      </c>
      <c r="B25" t="s">
        <v>5</v>
      </c>
      <c r="C25">
        <v>92800</v>
      </c>
      <c r="D25" t="s">
        <v>110</v>
      </c>
    </row>
    <row r="26" spans="1:4" x14ac:dyDescent="0.3">
      <c r="A26" s="35">
        <v>45943</v>
      </c>
      <c r="B26" t="s">
        <v>3</v>
      </c>
      <c r="C26">
        <v>7000</v>
      </c>
      <c r="D26" t="s">
        <v>110</v>
      </c>
    </row>
    <row r="27" spans="1:4" x14ac:dyDescent="0.3">
      <c r="A27" s="35">
        <v>45943</v>
      </c>
      <c r="B27" t="s">
        <v>5</v>
      </c>
      <c r="C27">
        <v>9200</v>
      </c>
      <c r="D27" t="s">
        <v>110</v>
      </c>
    </row>
    <row r="28" spans="1:4" x14ac:dyDescent="0.3">
      <c r="A28" s="35">
        <v>45944</v>
      </c>
      <c r="B28" t="s">
        <v>3</v>
      </c>
      <c r="C28">
        <v>7500</v>
      </c>
      <c r="D28" t="s">
        <v>110</v>
      </c>
    </row>
    <row r="29" spans="1:4" x14ac:dyDescent="0.3">
      <c r="A29" s="35">
        <v>45944</v>
      </c>
      <c r="B29" t="s">
        <v>5</v>
      </c>
      <c r="C29">
        <v>17500</v>
      </c>
      <c r="D29" t="s">
        <v>110</v>
      </c>
    </row>
    <row r="30" spans="1:4" x14ac:dyDescent="0.3">
      <c r="A30" s="35">
        <v>45945</v>
      </c>
      <c r="B30" t="s">
        <v>3</v>
      </c>
      <c r="C30">
        <v>2000</v>
      </c>
      <c r="D30" t="s">
        <v>110</v>
      </c>
    </row>
    <row r="31" spans="1:4" x14ac:dyDescent="0.3">
      <c r="A31" s="35">
        <v>45945</v>
      </c>
      <c r="B31" t="s">
        <v>5</v>
      </c>
      <c r="C31">
        <v>10700</v>
      </c>
      <c r="D31" t="s">
        <v>110</v>
      </c>
    </row>
    <row r="32" spans="1:4" x14ac:dyDescent="0.3">
      <c r="A32" s="35">
        <v>45946</v>
      </c>
      <c r="B32" t="s">
        <v>3</v>
      </c>
      <c r="C32">
        <v>7000</v>
      </c>
      <c r="D32" t="s">
        <v>110</v>
      </c>
    </row>
    <row r="33" spans="1:4" x14ac:dyDescent="0.3">
      <c r="A33" s="35">
        <v>45946</v>
      </c>
      <c r="B33" t="s">
        <v>5</v>
      </c>
      <c r="C33">
        <v>14300</v>
      </c>
      <c r="D33" t="s">
        <v>110</v>
      </c>
    </row>
    <row r="34" spans="1:4" x14ac:dyDescent="0.3">
      <c r="A34" s="35">
        <v>45946</v>
      </c>
      <c r="B34" t="s">
        <v>8</v>
      </c>
      <c r="C34">
        <v>3000</v>
      </c>
      <c r="D34" t="s">
        <v>110</v>
      </c>
    </row>
    <row r="35" spans="1:4" x14ac:dyDescent="0.3">
      <c r="A35" s="35">
        <v>45947</v>
      </c>
      <c r="B35" t="s">
        <v>3</v>
      </c>
      <c r="C35">
        <v>35000</v>
      </c>
      <c r="D35" t="s">
        <v>110</v>
      </c>
    </row>
    <row r="36" spans="1:4" x14ac:dyDescent="0.3">
      <c r="A36" s="35">
        <v>45947</v>
      </c>
      <c r="B36" t="s">
        <v>5</v>
      </c>
      <c r="C36">
        <v>20200</v>
      </c>
      <c r="D36" t="s">
        <v>110</v>
      </c>
    </row>
    <row r="37" spans="1:4" x14ac:dyDescent="0.3">
      <c r="A37" s="35">
        <v>45948</v>
      </c>
      <c r="B37" t="s">
        <v>5</v>
      </c>
      <c r="C37">
        <v>18800</v>
      </c>
      <c r="D37" t="s">
        <v>110</v>
      </c>
    </row>
    <row r="38" spans="1:4" x14ac:dyDescent="0.3">
      <c r="A38" s="35">
        <v>45949</v>
      </c>
      <c r="B38" t="s">
        <v>3</v>
      </c>
      <c r="C38">
        <v>1000</v>
      </c>
      <c r="D38" t="s">
        <v>110</v>
      </c>
    </row>
    <row r="39" spans="1:4" x14ac:dyDescent="0.3">
      <c r="A39" s="35">
        <v>45949</v>
      </c>
      <c r="B39" t="s">
        <v>5</v>
      </c>
      <c r="C39">
        <v>39200</v>
      </c>
      <c r="D39" t="s">
        <v>110</v>
      </c>
    </row>
    <row r="40" spans="1:4" x14ac:dyDescent="0.3">
      <c r="A40" s="35">
        <v>45950</v>
      </c>
      <c r="B40" t="s">
        <v>3</v>
      </c>
      <c r="C40">
        <v>14000</v>
      </c>
      <c r="D40" t="s">
        <v>110</v>
      </c>
    </row>
    <row r="41" spans="1:4" x14ac:dyDescent="0.3">
      <c r="A41" s="35">
        <v>45950</v>
      </c>
      <c r="B41" t="s">
        <v>5</v>
      </c>
      <c r="C41">
        <v>29200</v>
      </c>
      <c r="D41" t="s">
        <v>110</v>
      </c>
    </row>
    <row r="42" spans="1:4" x14ac:dyDescent="0.3">
      <c r="A42" s="35">
        <v>45951</v>
      </c>
      <c r="B42" t="s">
        <v>3</v>
      </c>
      <c r="C42">
        <v>11000</v>
      </c>
      <c r="D42" t="s">
        <v>110</v>
      </c>
    </row>
    <row r="43" spans="1:4" x14ac:dyDescent="0.3">
      <c r="A43" s="35">
        <v>45951</v>
      </c>
      <c r="B43" t="s">
        <v>5</v>
      </c>
      <c r="C43">
        <v>221300</v>
      </c>
      <c r="D43" t="s">
        <v>110</v>
      </c>
    </row>
    <row r="44" spans="1:4" x14ac:dyDescent="0.3">
      <c r="A44" s="35">
        <v>45952</v>
      </c>
      <c r="B44" t="s">
        <v>5</v>
      </c>
      <c r="C44">
        <v>97000</v>
      </c>
      <c r="D44" t="s">
        <v>110</v>
      </c>
    </row>
    <row r="45" spans="1:4" x14ac:dyDescent="0.3">
      <c r="A45" s="35">
        <v>45953</v>
      </c>
      <c r="B45" t="s">
        <v>5</v>
      </c>
      <c r="C45">
        <v>17500</v>
      </c>
      <c r="D45" t="s">
        <v>110</v>
      </c>
    </row>
    <row r="46" spans="1:4" x14ac:dyDescent="0.3">
      <c r="A46" s="35">
        <v>45954</v>
      </c>
      <c r="B46" t="s">
        <v>3</v>
      </c>
      <c r="C46">
        <v>16000</v>
      </c>
      <c r="D46" t="s">
        <v>110</v>
      </c>
    </row>
    <row r="47" spans="1:4" x14ac:dyDescent="0.3">
      <c r="A47" s="35">
        <v>45954</v>
      </c>
      <c r="B47" t="s">
        <v>5</v>
      </c>
      <c r="C47">
        <v>58900</v>
      </c>
      <c r="D47" t="s">
        <v>110</v>
      </c>
    </row>
    <row r="48" spans="1:4" x14ac:dyDescent="0.3">
      <c r="A48" s="35">
        <v>45955</v>
      </c>
      <c r="B48" t="s">
        <v>3</v>
      </c>
      <c r="C48">
        <v>6000</v>
      </c>
      <c r="D48" t="s">
        <v>110</v>
      </c>
    </row>
    <row r="49" spans="1:4" x14ac:dyDescent="0.3">
      <c r="A49" s="35">
        <v>45955</v>
      </c>
      <c r="B49" t="s">
        <v>5</v>
      </c>
      <c r="C49">
        <v>34200</v>
      </c>
      <c r="D49" t="s">
        <v>110</v>
      </c>
    </row>
    <row r="50" spans="1:4" x14ac:dyDescent="0.3">
      <c r="A50" s="35">
        <v>45956</v>
      </c>
      <c r="B50" t="s">
        <v>3</v>
      </c>
      <c r="C50">
        <v>1000</v>
      </c>
      <c r="D50" t="s">
        <v>110</v>
      </c>
    </row>
    <row r="51" spans="1:4" x14ac:dyDescent="0.3">
      <c r="A51" s="35">
        <v>45956</v>
      </c>
      <c r="B51" t="s">
        <v>5</v>
      </c>
      <c r="C51">
        <v>44800</v>
      </c>
      <c r="D51" t="s">
        <v>110</v>
      </c>
    </row>
    <row r="52" spans="1:4" x14ac:dyDescent="0.3">
      <c r="A52" s="35">
        <v>45957</v>
      </c>
      <c r="B52" t="s">
        <v>5</v>
      </c>
      <c r="C52">
        <v>98200</v>
      </c>
      <c r="D52" t="s">
        <v>110</v>
      </c>
    </row>
    <row r="53" spans="1:4" x14ac:dyDescent="0.3">
      <c r="A53" s="35">
        <v>45958</v>
      </c>
      <c r="B53" t="s">
        <v>5</v>
      </c>
      <c r="C53">
        <v>38500</v>
      </c>
      <c r="D53" t="s">
        <v>110</v>
      </c>
    </row>
    <row r="54" spans="1:4" x14ac:dyDescent="0.3">
      <c r="A54" s="35">
        <v>45959</v>
      </c>
      <c r="B54" t="s">
        <v>3</v>
      </c>
      <c r="C54">
        <v>21000</v>
      </c>
      <c r="D54" t="s">
        <v>110</v>
      </c>
    </row>
    <row r="55" spans="1:4" x14ac:dyDescent="0.3">
      <c r="A55" s="35">
        <v>45959</v>
      </c>
      <c r="B55" t="s">
        <v>5</v>
      </c>
      <c r="C55">
        <v>125700</v>
      </c>
      <c r="D55" t="s">
        <v>110</v>
      </c>
    </row>
    <row r="56" spans="1:4" x14ac:dyDescent="0.3">
      <c r="A56" s="35">
        <v>45960</v>
      </c>
      <c r="B56" t="s">
        <v>3</v>
      </c>
      <c r="C56">
        <v>29500</v>
      </c>
      <c r="D56" t="s">
        <v>110</v>
      </c>
    </row>
    <row r="57" spans="1:4" x14ac:dyDescent="0.3">
      <c r="A57" s="35">
        <v>45960</v>
      </c>
      <c r="B57" t="s">
        <v>5</v>
      </c>
      <c r="C57">
        <v>69500</v>
      </c>
      <c r="D57" t="s">
        <v>110</v>
      </c>
    </row>
    <row r="58" spans="1:4" x14ac:dyDescent="0.3">
      <c r="A58" s="35">
        <v>45961</v>
      </c>
      <c r="B58" t="s">
        <v>3</v>
      </c>
      <c r="C58">
        <v>1500</v>
      </c>
      <c r="D58" t="s">
        <v>110</v>
      </c>
    </row>
    <row r="59" spans="1:4" x14ac:dyDescent="0.3">
      <c r="A59" s="35">
        <v>45961</v>
      </c>
      <c r="B59" t="s">
        <v>5</v>
      </c>
      <c r="C59">
        <v>102200</v>
      </c>
      <c r="D59" t="s">
        <v>110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49611-89DD-4298-A5B7-49E9C044DAB1}">
  <dimension ref="A1:F24"/>
  <sheetViews>
    <sheetView workbookViewId="0">
      <selection sqref="A1:F24"/>
    </sheetView>
  </sheetViews>
  <sheetFormatPr defaultRowHeight="14.4" x14ac:dyDescent="0.3"/>
  <cols>
    <col min="1" max="1" width="10.5546875" bestFit="1" customWidth="1"/>
    <col min="2" max="2" width="37.44140625" bestFit="1" customWidth="1"/>
    <col min="3" max="3" width="18.21875" bestFit="1" customWidth="1"/>
    <col min="4" max="4" width="15.77734375" bestFit="1" customWidth="1"/>
    <col min="5" max="5" width="11.21875" bestFit="1" customWidth="1"/>
    <col min="6" max="6" width="15.33203125" bestFit="1" customWidth="1"/>
  </cols>
  <sheetData>
    <row r="1" spans="1:6" x14ac:dyDescent="0.3">
      <c r="A1" t="s">
        <v>1</v>
      </c>
      <c r="B1" t="s">
        <v>12</v>
      </c>
      <c r="C1" t="s">
        <v>132</v>
      </c>
      <c r="D1" t="s">
        <v>111</v>
      </c>
      <c r="E1" t="s">
        <v>0</v>
      </c>
      <c r="F1" t="s">
        <v>109</v>
      </c>
    </row>
    <row r="2" spans="1:6" x14ac:dyDescent="0.3">
      <c r="A2" s="35">
        <v>45932</v>
      </c>
      <c r="B2" s="53" t="s">
        <v>44</v>
      </c>
      <c r="C2" t="s">
        <v>121</v>
      </c>
      <c r="D2" s="53"/>
      <c r="E2">
        <v>50000</v>
      </c>
      <c r="F2" t="s">
        <v>110</v>
      </c>
    </row>
    <row r="3" spans="1:6" x14ac:dyDescent="0.3">
      <c r="A3" s="35">
        <v>45932</v>
      </c>
      <c r="B3" s="53" t="s">
        <v>80</v>
      </c>
      <c r="C3" t="s">
        <v>123</v>
      </c>
      <c r="D3" s="53"/>
      <c r="E3">
        <v>3000</v>
      </c>
      <c r="F3" t="s">
        <v>110</v>
      </c>
    </row>
    <row r="4" spans="1:6" x14ac:dyDescent="0.3">
      <c r="A4" s="35">
        <v>45932</v>
      </c>
      <c r="B4" s="53" t="s">
        <v>51</v>
      </c>
      <c r="C4" t="s">
        <v>113</v>
      </c>
      <c r="D4" s="53" t="s">
        <v>81</v>
      </c>
      <c r="E4">
        <v>52000</v>
      </c>
      <c r="F4" t="s">
        <v>110</v>
      </c>
    </row>
    <row r="5" spans="1:6" x14ac:dyDescent="0.3">
      <c r="A5" s="35">
        <v>45932</v>
      </c>
      <c r="B5" s="53" t="s">
        <v>53</v>
      </c>
      <c r="C5" t="s">
        <v>127</v>
      </c>
      <c r="D5" s="53"/>
      <c r="E5">
        <v>3000</v>
      </c>
      <c r="F5" t="s">
        <v>110</v>
      </c>
    </row>
    <row r="6" spans="1:6" x14ac:dyDescent="0.3">
      <c r="A6" s="35">
        <v>45932</v>
      </c>
      <c r="B6" s="53" t="s">
        <v>82</v>
      </c>
      <c r="C6" t="s">
        <v>115</v>
      </c>
      <c r="D6" s="53" t="s">
        <v>81</v>
      </c>
      <c r="E6">
        <v>10000</v>
      </c>
      <c r="F6" t="s">
        <v>110</v>
      </c>
    </row>
    <row r="7" spans="1:6" x14ac:dyDescent="0.3">
      <c r="A7" s="35">
        <v>45936</v>
      </c>
      <c r="B7" s="53" t="s">
        <v>83</v>
      </c>
      <c r="C7" t="s">
        <v>123</v>
      </c>
      <c r="D7" s="53"/>
      <c r="E7">
        <v>6000</v>
      </c>
      <c r="F7" t="s">
        <v>110</v>
      </c>
    </row>
    <row r="8" spans="1:6" x14ac:dyDescent="0.3">
      <c r="A8" s="35">
        <v>45936</v>
      </c>
      <c r="B8" s="53" t="s">
        <v>84</v>
      </c>
      <c r="C8" t="s">
        <v>123</v>
      </c>
      <c r="D8" s="53"/>
      <c r="E8">
        <v>5000</v>
      </c>
      <c r="F8" t="s">
        <v>110</v>
      </c>
    </row>
    <row r="9" spans="1:6" x14ac:dyDescent="0.3">
      <c r="A9" s="35">
        <v>45936</v>
      </c>
      <c r="B9" s="53" t="s">
        <v>85</v>
      </c>
      <c r="C9" t="s">
        <v>115</v>
      </c>
      <c r="D9" s="53"/>
      <c r="E9">
        <v>14000</v>
      </c>
      <c r="F9" t="s">
        <v>110</v>
      </c>
    </row>
    <row r="10" spans="1:6" x14ac:dyDescent="0.3">
      <c r="A10" s="35">
        <v>45936</v>
      </c>
      <c r="B10" s="53" t="s">
        <v>86</v>
      </c>
      <c r="C10" t="s">
        <v>120</v>
      </c>
      <c r="D10" s="53"/>
      <c r="E10">
        <v>3000</v>
      </c>
      <c r="F10" t="s">
        <v>110</v>
      </c>
    </row>
    <row r="11" spans="1:6" x14ac:dyDescent="0.3">
      <c r="A11" s="35">
        <v>45936</v>
      </c>
      <c r="B11" s="53" t="s">
        <v>87</v>
      </c>
      <c r="C11" t="s">
        <v>113</v>
      </c>
      <c r="D11" s="53"/>
      <c r="E11">
        <v>5000</v>
      </c>
      <c r="F11" t="s">
        <v>110</v>
      </c>
    </row>
    <row r="12" spans="1:6" x14ac:dyDescent="0.3">
      <c r="A12" s="35">
        <v>45936</v>
      </c>
      <c r="B12" s="53" t="s">
        <v>88</v>
      </c>
      <c r="C12" t="s">
        <v>123</v>
      </c>
      <c r="D12" s="53"/>
      <c r="E12">
        <v>1000</v>
      </c>
      <c r="F12" t="s">
        <v>110</v>
      </c>
    </row>
    <row r="13" spans="1:6" x14ac:dyDescent="0.3">
      <c r="A13" s="35">
        <v>45936</v>
      </c>
      <c r="B13" s="53" t="s">
        <v>56</v>
      </c>
      <c r="C13" t="s">
        <v>123</v>
      </c>
      <c r="D13" s="53" t="s">
        <v>52</v>
      </c>
      <c r="E13">
        <v>146500</v>
      </c>
      <c r="F13" t="s">
        <v>110</v>
      </c>
    </row>
    <row r="14" spans="1:6" x14ac:dyDescent="0.3">
      <c r="A14" s="35">
        <v>45946</v>
      </c>
      <c r="B14" s="53" t="s">
        <v>89</v>
      </c>
      <c r="C14" t="s">
        <v>115</v>
      </c>
      <c r="D14" s="53"/>
      <c r="E14">
        <v>3000</v>
      </c>
      <c r="F14" t="s">
        <v>110</v>
      </c>
    </row>
    <row r="15" spans="1:6" x14ac:dyDescent="0.3">
      <c r="A15" s="35">
        <v>45946</v>
      </c>
      <c r="B15" s="53" t="s">
        <v>90</v>
      </c>
      <c r="C15" t="s">
        <v>123</v>
      </c>
      <c r="D15" s="53"/>
      <c r="E15">
        <v>1500</v>
      </c>
      <c r="F15" t="s">
        <v>110</v>
      </c>
    </row>
    <row r="16" spans="1:6" x14ac:dyDescent="0.3">
      <c r="A16" s="35">
        <v>45946</v>
      </c>
      <c r="B16" s="53" t="s">
        <v>44</v>
      </c>
      <c r="C16" t="s">
        <v>121</v>
      </c>
      <c r="D16" s="53"/>
      <c r="E16">
        <v>51000</v>
      </c>
      <c r="F16" t="s">
        <v>110</v>
      </c>
    </row>
    <row r="17" spans="1:6" x14ac:dyDescent="0.3">
      <c r="A17" s="35">
        <v>45946</v>
      </c>
      <c r="B17" s="53" t="s">
        <v>91</v>
      </c>
      <c r="C17" t="s">
        <v>123</v>
      </c>
      <c r="D17" s="53"/>
      <c r="E17">
        <v>3800</v>
      </c>
      <c r="F17" t="s">
        <v>110</v>
      </c>
    </row>
    <row r="18" spans="1:6" x14ac:dyDescent="0.3">
      <c r="A18" s="35">
        <v>45960</v>
      </c>
      <c r="B18" s="53" t="s">
        <v>92</v>
      </c>
      <c r="C18" t="s">
        <v>127</v>
      </c>
      <c r="D18" s="53"/>
      <c r="E18">
        <v>5000</v>
      </c>
      <c r="F18" t="s">
        <v>110</v>
      </c>
    </row>
    <row r="19" spans="1:6" x14ac:dyDescent="0.3">
      <c r="A19" s="35">
        <v>45960</v>
      </c>
      <c r="B19" s="53" t="s">
        <v>51</v>
      </c>
      <c r="C19" t="s">
        <v>113</v>
      </c>
      <c r="D19" s="53"/>
      <c r="E19">
        <v>64500</v>
      </c>
      <c r="F19" t="s">
        <v>110</v>
      </c>
    </row>
    <row r="20" spans="1:6" x14ac:dyDescent="0.3">
      <c r="A20" s="35">
        <v>45960</v>
      </c>
      <c r="B20" s="53" t="s">
        <v>93</v>
      </c>
      <c r="C20" t="s">
        <v>127</v>
      </c>
      <c r="D20" s="53"/>
      <c r="E20">
        <v>2000</v>
      </c>
      <c r="F20" t="s">
        <v>110</v>
      </c>
    </row>
    <row r="21" spans="1:6" x14ac:dyDescent="0.3">
      <c r="A21" s="35">
        <v>45960</v>
      </c>
      <c r="B21" s="53" t="s">
        <v>51</v>
      </c>
      <c r="C21" t="s">
        <v>113</v>
      </c>
      <c r="D21" s="53" t="s">
        <v>94</v>
      </c>
      <c r="E21">
        <v>480000</v>
      </c>
      <c r="F21" t="s">
        <v>110</v>
      </c>
    </row>
    <row r="22" spans="1:6" x14ac:dyDescent="0.3">
      <c r="A22" s="35">
        <v>45960</v>
      </c>
      <c r="B22" s="53" t="s">
        <v>51</v>
      </c>
      <c r="C22" t="s">
        <v>113</v>
      </c>
      <c r="D22" s="53" t="s">
        <v>95</v>
      </c>
      <c r="E22">
        <v>162800</v>
      </c>
      <c r="F22" t="s">
        <v>110</v>
      </c>
    </row>
    <row r="23" spans="1:6" x14ac:dyDescent="0.3">
      <c r="A23" s="35">
        <v>45960</v>
      </c>
      <c r="B23" s="53" t="s">
        <v>96</v>
      </c>
      <c r="C23" t="s">
        <v>123</v>
      </c>
      <c r="D23" s="53"/>
      <c r="E23">
        <v>365</v>
      </c>
      <c r="F23" t="s">
        <v>110</v>
      </c>
    </row>
    <row r="24" spans="1:6" x14ac:dyDescent="0.3">
      <c r="A24" s="35">
        <v>45961</v>
      </c>
      <c r="B24" s="53" t="s">
        <v>151</v>
      </c>
      <c r="C24" t="s">
        <v>152</v>
      </c>
      <c r="D24" s="53"/>
      <c r="E24">
        <v>1615000</v>
      </c>
      <c r="F24" t="s">
        <v>110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7"/>
  <sheetViews>
    <sheetView workbookViewId="0">
      <selection activeCell="F43" sqref="F43"/>
    </sheetView>
  </sheetViews>
  <sheetFormatPr defaultColWidth="9.21875" defaultRowHeight="15.6" x14ac:dyDescent="0.3"/>
  <cols>
    <col min="1" max="1" width="11.77734375" style="13" customWidth="1"/>
    <col min="2" max="2" width="10.21875" style="1" customWidth="1"/>
    <col min="3" max="3" width="14.33203125" style="1" customWidth="1"/>
    <col min="4" max="4" width="11.44140625" style="1" customWidth="1"/>
    <col min="5" max="6" width="9.21875" style="1"/>
    <col min="7" max="7" width="11.21875" style="1" bestFit="1" customWidth="1"/>
    <col min="8" max="8" width="11.6640625" style="1" customWidth="1"/>
    <col min="9" max="9" width="10.6640625" style="1" customWidth="1"/>
    <col min="10" max="10" width="10.21875" style="1" customWidth="1"/>
    <col min="11" max="11" width="13.44140625" style="1" customWidth="1"/>
    <col min="12" max="12" width="12.109375" style="1" customWidth="1"/>
    <col min="13" max="16384" width="9.21875" style="1"/>
  </cols>
  <sheetData>
    <row r="1" spans="1:14" s="10" customFormat="1" ht="17.25" customHeight="1" x14ac:dyDescent="0.3">
      <c r="A1" s="45" t="s">
        <v>61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</row>
    <row r="2" spans="1:14" s="10" customFormat="1" x14ac:dyDescent="0.3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</row>
    <row r="3" spans="1:14" s="10" customFormat="1" x14ac:dyDescent="0.3">
      <c r="A3" s="11" t="s">
        <v>1</v>
      </c>
      <c r="B3" s="10" t="s">
        <v>2</v>
      </c>
      <c r="C3" s="10" t="s">
        <v>38</v>
      </c>
      <c r="D3" s="10" t="s">
        <v>34</v>
      </c>
      <c r="E3" s="10" t="s">
        <v>3</v>
      </c>
      <c r="F3" s="10" t="s">
        <v>4</v>
      </c>
      <c r="G3" s="10" t="s">
        <v>5</v>
      </c>
      <c r="H3" s="10" t="s">
        <v>6</v>
      </c>
      <c r="I3" s="10" t="s">
        <v>7</v>
      </c>
      <c r="J3" s="10" t="s">
        <v>37</v>
      </c>
      <c r="K3" s="10" t="s">
        <v>42</v>
      </c>
      <c r="L3" s="10" t="s">
        <v>8</v>
      </c>
      <c r="M3" s="10" t="s">
        <v>9</v>
      </c>
    </row>
    <row r="4" spans="1:14" x14ac:dyDescent="0.3">
      <c r="A4" s="12">
        <v>45931</v>
      </c>
      <c r="E4" s="1">
        <f>2000+10000</f>
        <v>12000</v>
      </c>
      <c r="G4" s="1">
        <f>4500</f>
        <v>4500</v>
      </c>
      <c r="M4" s="1">
        <f>B4+C4+D4+E4+F4+G4+H4+I4+J4+K4+L4</f>
        <v>16500</v>
      </c>
    </row>
    <row r="5" spans="1:14" x14ac:dyDescent="0.3">
      <c r="A5" s="12">
        <v>45932</v>
      </c>
      <c r="E5" s="1">
        <f>17000</f>
        <v>17000</v>
      </c>
      <c r="G5" s="1">
        <f>3200+14900+2000+1800+2800+15200+20300+41450+61200</f>
        <v>162850</v>
      </c>
      <c r="M5" s="1">
        <f t="shared" ref="M5:M34" si="0">B5+C5+D5+E5+F5+G5+H5+I5+J5+K5+L5</f>
        <v>179850</v>
      </c>
    </row>
    <row r="6" spans="1:14" x14ac:dyDescent="0.3">
      <c r="A6" s="12">
        <v>45933</v>
      </c>
      <c r="E6" s="1">
        <f>14000+7500+2000</f>
        <v>23500</v>
      </c>
      <c r="G6" s="1">
        <f>1500+9200+36500+1000+8200+8200+29000</f>
        <v>93600</v>
      </c>
      <c r="M6" s="1">
        <f t="shared" si="0"/>
        <v>117100</v>
      </c>
    </row>
    <row r="7" spans="1:14" x14ac:dyDescent="0.3">
      <c r="A7" s="12">
        <v>45934</v>
      </c>
      <c r="E7" s="1">
        <f>18000+1000</f>
        <v>19000</v>
      </c>
      <c r="G7" s="1">
        <f>12500+3000+20000+40000+1200</f>
        <v>76700</v>
      </c>
      <c r="M7" s="1">
        <f t="shared" si="0"/>
        <v>95700</v>
      </c>
    </row>
    <row r="8" spans="1:14" x14ac:dyDescent="0.3">
      <c r="A8" s="12">
        <v>45935</v>
      </c>
      <c r="G8" s="1">
        <f>4200+16000+15000+28350+97750</f>
        <v>161300</v>
      </c>
      <c r="M8" s="1">
        <f t="shared" si="0"/>
        <v>161300</v>
      </c>
    </row>
    <row r="9" spans="1:14" x14ac:dyDescent="0.3">
      <c r="A9" s="12">
        <v>45936</v>
      </c>
      <c r="E9" s="1">
        <f>3000+2000+9000+1000</f>
        <v>15000</v>
      </c>
      <c r="G9" s="1">
        <f>6500+8000+1500+1000+1000+2000+5000</f>
        <v>25000</v>
      </c>
      <c r="M9" s="1">
        <f t="shared" si="0"/>
        <v>40000</v>
      </c>
    </row>
    <row r="10" spans="1:14" x14ac:dyDescent="0.3">
      <c r="A10" s="12">
        <v>45937</v>
      </c>
      <c r="E10" s="1">
        <f>1000+7000+1000+15000</f>
        <v>24000</v>
      </c>
      <c r="G10" s="1">
        <f>10500+1500+3500+2000+9800+2000+20000+1500+3000</f>
        <v>53800</v>
      </c>
      <c r="L10" s="1">
        <v>10000</v>
      </c>
      <c r="M10" s="1">
        <f t="shared" si="0"/>
        <v>87800</v>
      </c>
    </row>
    <row r="11" spans="1:14" x14ac:dyDescent="0.3">
      <c r="A11" s="12">
        <v>45938</v>
      </c>
      <c r="E11" s="1">
        <f>6000</f>
        <v>6000</v>
      </c>
      <c r="G11" s="1">
        <f>10000+7000</f>
        <v>17000</v>
      </c>
      <c r="L11" s="1">
        <v>1000</v>
      </c>
      <c r="M11" s="1">
        <f t="shared" si="0"/>
        <v>24000</v>
      </c>
    </row>
    <row r="12" spans="1:14" x14ac:dyDescent="0.3">
      <c r="A12" s="12">
        <v>45939</v>
      </c>
      <c r="E12" s="1">
        <f>1000+8000+14000</f>
        <v>23000</v>
      </c>
      <c r="G12" s="1">
        <f>11000+8000+2500+6200</f>
        <v>27700</v>
      </c>
      <c r="M12" s="1">
        <f t="shared" si="0"/>
        <v>50700</v>
      </c>
    </row>
    <row r="13" spans="1:14" x14ac:dyDescent="0.3">
      <c r="A13" s="12">
        <v>45940</v>
      </c>
      <c r="E13" s="1">
        <f>9000</f>
        <v>9000</v>
      </c>
      <c r="G13" s="1">
        <f>3200+4200+9500</f>
        <v>16900</v>
      </c>
      <c r="M13" s="1">
        <f t="shared" si="0"/>
        <v>25900</v>
      </c>
    </row>
    <row r="14" spans="1:14" x14ac:dyDescent="0.3">
      <c r="A14" s="12">
        <v>45941</v>
      </c>
      <c r="G14" s="1">
        <f>3000+10000+28000</f>
        <v>41000</v>
      </c>
      <c r="L14" s="1">
        <f>1000</f>
        <v>1000</v>
      </c>
      <c r="M14" s="1">
        <f t="shared" si="0"/>
        <v>42000</v>
      </c>
    </row>
    <row r="15" spans="1:14" x14ac:dyDescent="0.3">
      <c r="A15" s="12">
        <v>45942</v>
      </c>
      <c r="G15" s="1">
        <f>50000+41300+1500</f>
        <v>92800</v>
      </c>
      <c r="M15" s="1">
        <f t="shared" si="0"/>
        <v>92800</v>
      </c>
    </row>
    <row r="16" spans="1:14" x14ac:dyDescent="0.3">
      <c r="A16" s="12">
        <v>45943</v>
      </c>
      <c r="E16" s="1">
        <f>5000+2000</f>
        <v>7000</v>
      </c>
      <c r="G16" s="1">
        <f>7200+2000</f>
        <v>9200</v>
      </c>
      <c r="M16" s="1">
        <f t="shared" si="0"/>
        <v>16200</v>
      </c>
    </row>
    <row r="17" spans="1:20" x14ac:dyDescent="0.3">
      <c r="A17" s="12" t="s">
        <v>62</v>
      </c>
      <c r="E17" s="1">
        <f>7500</f>
        <v>7500</v>
      </c>
      <c r="G17" s="1">
        <f>15000+1500+1000</f>
        <v>17500</v>
      </c>
      <c r="M17" s="1">
        <f t="shared" si="0"/>
        <v>25000</v>
      </c>
    </row>
    <row r="18" spans="1:20" x14ac:dyDescent="0.3">
      <c r="A18" s="12" t="s">
        <v>63</v>
      </c>
      <c r="E18" s="1">
        <f>2000</f>
        <v>2000</v>
      </c>
      <c r="G18" s="1">
        <f>1500+9200</f>
        <v>10700</v>
      </c>
      <c r="M18" s="1">
        <f t="shared" si="0"/>
        <v>12700</v>
      </c>
    </row>
    <row r="19" spans="1:20" x14ac:dyDescent="0.3">
      <c r="A19" s="12" t="s">
        <v>64</v>
      </c>
      <c r="E19" s="1">
        <f>5000+2000</f>
        <v>7000</v>
      </c>
      <c r="G19" s="1">
        <f>14300</f>
        <v>14300</v>
      </c>
      <c r="L19" s="1">
        <f>3000</f>
        <v>3000</v>
      </c>
      <c r="M19" s="1">
        <f t="shared" si="0"/>
        <v>24300</v>
      </c>
    </row>
    <row r="20" spans="1:20" x14ac:dyDescent="0.3">
      <c r="A20" s="12" t="s">
        <v>65</v>
      </c>
      <c r="E20" s="1">
        <f>1000+13000+8000+8000+5000</f>
        <v>35000</v>
      </c>
      <c r="G20" s="1">
        <f>9000+2200+9000</f>
        <v>20200</v>
      </c>
      <c r="M20" s="1">
        <f t="shared" si="0"/>
        <v>55200</v>
      </c>
    </row>
    <row r="21" spans="1:20" x14ac:dyDescent="0.3">
      <c r="A21" s="13" t="s">
        <v>66</v>
      </c>
      <c r="G21" s="1">
        <f>1000+1500+5500+1000+9800</f>
        <v>18800</v>
      </c>
      <c r="M21" s="1">
        <f t="shared" si="0"/>
        <v>18800</v>
      </c>
    </row>
    <row r="22" spans="1:20" x14ac:dyDescent="0.3">
      <c r="A22" s="13" t="s">
        <v>67</v>
      </c>
      <c r="E22" s="1">
        <f>1000</f>
        <v>1000</v>
      </c>
      <c r="G22" s="1">
        <f>29000+5200+5000</f>
        <v>39200</v>
      </c>
      <c r="M22" s="1">
        <f t="shared" si="0"/>
        <v>40200</v>
      </c>
    </row>
    <row r="23" spans="1:20" x14ac:dyDescent="0.3">
      <c r="A23" s="13" t="s">
        <v>68</v>
      </c>
      <c r="E23" s="1">
        <f>1000+6000+7000</f>
        <v>14000</v>
      </c>
      <c r="G23" s="1">
        <f>20000+1000+1000+7200</f>
        <v>29200</v>
      </c>
      <c r="M23" s="1">
        <f t="shared" si="0"/>
        <v>43200</v>
      </c>
    </row>
    <row r="24" spans="1:20" x14ac:dyDescent="0.3">
      <c r="A24" s="13" t="s">
        <v>69</v>
      </c>
      <c r="E24" s="1">
        <f>3000+3000+5000</f>
        <v>11000</v>
      </c>
      <c r="G24" s="1">
        <f>10000+1000+800+4500+6000+150000+46000+3000</f>
        <v>221300</v>
      </c>
      <c r="M24" s="1">
        <f t="shared" si="0"/>
        <v>232300</v>
      </c>
    </row>
    <row r="25" spans="1:20" x14ac:dyDescent="0.3">
      <c r="A25" s="13" t="s">
        <v>70</v>
      </c>
      <c r="G25" s="1">
        <f>6000+3500+5000+30000+13000+16000+1000+21500+1000</f>
        <v>97000</v>
      </c>
      <c r="M25" s="1">
        <f t="shared" si="0"/>
        <v>97000</v>
      </c>
    </row>
    <row r="26" spans="1:20" x14ac:dyDescent="0.3">
      <c r="A26" s="13" t="s">
        <v>71</v>
      </c>
      <c r="G26" s="1">
        <f>9500+4000+1000+3000</f>
        <v>17500</v>
      </c>
      <c r="M26" s="1">
        <f t="shared" si="0"/>
        <v>17500</v>
      </c>
      <c r="Q26" s="1">
        <f>61200+6500+1800+14900+17000+15200+20300+14000+9200+20000+7500+8200+18000+29000+20000+40000+97750+28350+1500+6500+2000+1000+5000+20000+1000+15000+10500+7000+9800</f>
        <v>508200</v>
      </c>
      <c r="S26" s="1">
        <f>253550-102250</f>
        <v>151300</v>
      </c>
      <c r="T26" s="1">
        <f>S26-231530-70300</f>
        <v>-150530</v>
      </c>
    </row>
    <row r="27" spans="1:20" x14ac:dyDescent="0.3">
      <c r="A27" s="13" t="s">
        <v>72</v>
      </c>
      <c r="E27" s="1">
        <f>9000+6000+1000</f>
        <v>16000</v>
      </c>
      <c r="G27" s="1">
        <f>2000+5000+6500+30000+1400+14000</f>
        <v>58900</v>
      </c>
      <c r="M27" s="1">
        <f t="shared" si="0"/>
        <v>74900</v>
      </c>
      <c r="Q27" s="1">
        <f>5000+7000+6200+3200+9500+50000+41300+1000+2000+2000+1500+9200</f>
        <v>137900</v>
      </c>
      <c r="S27" s="1">
        <f>470200-Q27</f>
        <v>332300</v>
      </c>
      <c r="T27" s="1">
        <f>S27+T26+24450</f>
        <v>206220</v>
      </c>
    </row>
    <row r="28" spans="1:20" x14ac:dyDescent="0.3">
      <c r="A28" s="13" t="s">
        <v>73</v>
      </c>
      <c r="E28" s="1">
        <f>6000</f>
        <v>6000</v>
      </c>
      <c r="G28" s="1">
        <f>9000+16000+9200</f>
        <v>34200</v>
      </c>
      <c r="M28" s="1">
        <f t="shared" si="0"/>
        <v>40200</v>
      </c>
      <c r="Q28" s="1">
        <f>5000+14300+5000+5000+9800+29000+5000+20000+7000+1000+7200+150000+3000+3000+46000+5000+800+16000+21500+1000+5000+14000+3000+30000+1000+16000+25600+1000+9200+50000+3200+7500+5000+16000+4500+2000+15000+4500+11700+13000</f>
        <v>591800</v>
      </c>
      <c r="S28" s="1">
        <f>546900-Q28</f>
        <v>-44900</v>
      </c>
      <c r="T28" s="1">
        <f>S28+T27-166800</f>
        <v>-5480</v>
      </c>
    </row>
    <row r="29" spans="1:20" x14ac:dyDescent="0.3">
      <c r="A29" s="13" t="s">
        <v>74</v>
      </c>
      <c r="E29" s="1">
        <f>1000</f>
        <v>1000</v>
      </c>
      <c r="G29" s="1">
        <f>25600+5000+3000+2000+9200</f>
        <v>44800</v>
      </c>
      <c r="M29" s="1">
        <f t="shared" si="0"/>
        <v>45800</v>
      </c>
    </row>
    <row r="30" spans="1:20" x14ac:dyDescent="0.3">
      <c r="A30" s="13" t="s">
        <v>75</v>
      </c>
      <c r="G30" s="1">
        <f>3200+1000+4200+26200+50000+1500+12100</f>
        <v>98200</v>
      </c>
      <c r="M30" s="1">
        <f t="shared" si="0"/>
        <v>98200</v>
      </c>
    </row>
    <row r="31" spans="1:20" x14ac:dyDescent="0.3">
      <c r="A31" s="13" t="s">
        <v>76</v>
      </c>
      <c r="G31" s="1">
        <f>12800+6200+2000+4000+5000+1000+7500</f>
        <v>38500</v>
      </c>
      <c r="M31" s="1">
        <f t="shared" si="0"/>
        <v>38500</v>
      </c>
      <c r="Q31" s="1">
        <f>SUM(Q25:Q30)</f>
        <v>1237900</v>
      </c>
    </row>
    <row r="32" spans="1:20" x14ac:dyDescent="0.3">
      <c r="A32" s="13" t="s">
        <v>77</v>
      </c>
      <c r="E32" s="1">
        <f>16000+5000</f>
        <v>21000</v>
      </c>
      <c r="G32" s="1">
        <f>4000+5500+5000+26500+6000+7000+3500+8000+2500+1000+4500+19200+3000+5000+20000+5000</f>
        <v>125700</v>
      </c>
      <c r="M32" s="1">
        <f t="shared" si="0"/>
        <v>146700</v>
      </c>
    </row>
    <row r="33" spans="1:13" x14ac:dyDescent="0.3">
      <c r="A33" s="13" t="s">
        <v>78</v>
      </c>
      <c r="E33" s="1">
        <f>15000+4000+10500</f>
        <v>29500</v>
      </c>
      <c r="G33" s="1">
        <f>30000+2000+3500+4500+10000+9500+10000</f>
        <v>69500</v>
      </c>
      <c r="M33" s="1">
        <f t="shared" si="0"/>
        <v>99000</v>
      </c>
    </row>
    <row r="34" spans="1:13" x14ac:dyDescent="0.3">
      <c r="A34" s="13" t="s">
        <v>79</v>
      </c>
      <c r="E34" s="1">
        <f>1500</f>
        <v>1500</v>
      </c>
      <c r="G34" s="1">
        <f>11700+6000+3500+11000+2000+20000+48000</f>
        <v>102200</v>
      </c>
      <c r="M34" s="1">
        <f t="shared" si="0"/>
        <v>103700</v>
      </c>
    </row>
    <row r="36" spans="1:13" x14ac:dyDescent="0.3">
      <c r="B36" s="1">
        <f>SUM(B4:B34)</f>
        <v>0</v>
      </c>
      <c r="C36" s="1">
        <f>SUM(C4:C34)</f>
        <v>0</v>
      </c>
      <c r="D36" s="1">
        <f t="shared" ref="D36:L36" si="1">SUM(D4:D34)</f>
        <v>0</v>
      </c>
      <c r="E36" s="14">
        <f t="shared" si="1"/>
        <v>308000</v>
      </c>
      <c r="F36" s="1">
        <f t="shared" si="1"/>
        <v>0</v>
      </c>
      <c r="G36" s="14">
        <f t="shared" si="1"/>
        <v>1840050</v>
      </c>
      <c r="H36" s="14">
        <f t="shared" si="1"/>
        <v>0</v>
      </c>
      <c r="I36" s="14">
        <f t="shared" si="1"/>
        <v>0</v>
      </c>
      <c r="J36" s="14">
        <f t="shared" si="1"/>
        <v>0</v>
      </c>
      <c r="K36" s="29">
        <f>SUM(K4:K34)</f>
        <v>0</v>
      </c>
      <c r="L36" s="14">
        <f t="shared" si="1"/>
        <v>15000</v>
      </c>
      <c r="M36" s="10">
        <f>SUM(M4:M34)</f>
        <v>2163050</v>
      </c>
    </row>
    <row r="38" spans="1:13" x14ac:dyDescent="0.3">
      <c r="D38" s="1" t="s">
        <v>10</v>
      </c>
    </row>
    <row r="39" spans="1:13" x14ac:dyDescent="0.3">
      <c r="B39" s="1" t="s">
        <v>2</v>
      </c>
      <c r="D39" s="1">
        <f>B36/M36*100</f>
        <v>0</v>
      </c>
    </row>
    <row r="40" spans="1:13" x14ac:dyDescent="0.3">
      <c r="B40" s="1" t="s">
        <v>38</v>
      </c>
      <c r="D40" s="1">
        <f>C36/M36*100</f>
        <v>0</v>
      </c>
    </row>
    <row r="41" spans="1:13" x14ac:dyDescent="0.3">
      <c r="B41" s="1" t="s">
        <v>34</v>
      </c>
      <c r="D41" s="1">
        <f>D36/M36*100</f>
        <v>0</v>
      </c>
      <c r="H41" s="10" t="s">
        <v>14</v>
      </c>
    </row>
    <row r="42" spans="1:13" x14ac:dyDescent="0.3">
      <c r="B42" s="1" t="str">
        <f>E3</f>
        <v>LAB</v>
      </c>
      <c r="D42" s="1">
        <f>E36/M36*100</f>
        <v>14.239153047779757</v>
      </c>
    </row>
    <row r="43" spans="1:13" x14ac:dyDescent="0.3">
      <c r="B43" s="1" t="s">
        <v>4</v>
      </c>
      <c r="D43" s="1">
        <f>F36/M36*100</f>
        <v>0</v>
      </c>
      <c r="G43" s="14" t="s">
        <v>23</v>
      </c>
      <c r="H43" s="1">
        <f>E36+G36+H36+I36+L36+J36</f>
        <v>2163050</v>
      </c>
    </row>
    <row r="44" spans="1:13" x14ac:dyDescent="0.3">
      <c r="B44" s="1" t="s">
        <v>5</v>
      </c>
      <c r="D44" s="1">
        <f>G36/M36*100</f>
        <v>85.067381706386811</v>
      </c>
    </row>
    <row r="45" spans="1:13" x14ac:dyDescent="0.3">
      <c r="B45" s="1" t="s">
        <v>6</v>
      </c>
      <c r="D45" s="1">
        <f>H36/M36*100</f>
        <v>0</v>
      </c>
      <c r="F45" s="1" t="s">
        <v>24</v>
      </c>
      <c r="G45" s="1" t="s">
        <v>29</v>
      </c>
      <c r="H45" s="1">
        <f>B36+F36+D36+C36+K36</f>
        <v>0</v>
      </c>
    </row>
    <row r="46" spans="1:13" x14ac:dyDescent="0.3">
      <c r="B46" s="1" t="s">
        <v>7</v>
      </c>
      <c r="D46" s="1">
        <f>I36/M36*100</f>
        <v>0</v>
      </c>
      <c r="G46" s="1" t="s">
        <v>9</v>
      </c>
      <c r="H46" s="10">
        <f>SUM(H43:H45)</f>
        <v>2163050</v>
      </c>
    </row>
    <row r="47" spans="1:13" ht="16.2" thickBot="1" x14ac:dyDescent="0.35">
      <c r="B47" s="1" t="s">
        <v>41</v>
      </c>
      <c r="D47" s="1">
        <f>J36/M36*100</f>
        <v>0</v>
      </c>
      <c r="F47" s="1" t="s">
        <v>26</v>
      </c>
      <c r="G47" s="1" t="s">
        <v>27</v>
      </c>
      <c r="H47" s="1">
        <v>-247415</v>
      </c>
    </row>
    <row r="48" spans="1:13" ht="16.2" thickBot="1" x14ac:dyDescent="0.35">
      <c r="B48" s="1" t="str">
        <f>L3</f>
        <v>DRESSING</v>
      </c>
      <c r="D48" s="1">
        <f>L36/M36*100</f>
        <v>0.69346524583342961</v>
      </c>
      <c r="F48" s="1" t="s">
        <v>9</v>
      </c>
      <c r="G48" s="1" t="s">
        <v>0</v>
      </c>
      <c r="H48" s="15">
        <f>SUM(H46:H47)</f>
        <v>1915635</v>
      </c>
    </row>
    <row r="49" spans="2:8" x14ac:dyDescent="0.3">
      <c r="B49" s="1" t="s">
        <v>43</v>
      </c>
      <c r="D49" s="1">
        <f>K36/M36*100</f>
        <v>0</v>
      </c>
      <c r="H49" s="10"/>
    </row>
    <row r="50" spans="2:8" x14ac:dyDescent="0.3">
      <c r="D50" s="1">
        <f>SUM(D39:D49)</f>
        <v>99.999999999999986</v>
      </c>
    </row>
    <row r="51" spans="2:8" x14ac:dyDescent="0.3">
      <c r="D51" s="1" t="s">
        <v>13</v>
      </c>
    </row>
    <row r="52" spans="2:8" x14ac:dyDescent="0.3">
      <c r="B52" s="1" t="s">
        <v>30</v>
      </c>
    </row>
    <row r="53" spans="2:8" x14ac:dyDescent="0.3">
      <c r="D53" s="1" t="s">
        <v>31</v>
      </c>
      <c r="H53" s="1">
        <f>Q31</f>
        <v>1237900</v>
      </c>
    </row>
    <row r="54" spans="2:8" x14ac:dyDescent="0.3">
      <c r="D54" s="1" t="s">
        <v>18</v>
      </c>
      <c r="H54" s="1">
        <f>[1]IMPREST!E39</f>
        <v>1072465</v>
      </c>
    </row>
    <row r="55" spans="2:8" x14ac:dyDescent="0.3">
      <c r="D55" s="1" t="s">
        <v>9</v>
      </c>
      <c r="H55" s="1">
        <f>H53+H54</f>
        <v>2310365</v>
      </c>
    </row>
    <row r="56" spans="2:8" ht="16.2" thickBot="1" x14ac:dyDescent="0.35">
      <c r="D56" s="1" t="s">
        <v>32</v>
      </c>
      <c r="H56" s="1">
        <v>-394730</v>
      </c>
    </row>
    <row r="57" spans="2:8" ht="16.2" thickBot="1" x14ac:dyDescent="0.35">
      <c r="D57" s="1" t="s">
        <v>33</v>
      </c>
      <c r="H57" s="15">
        <f>H55+H56</f>
        <v>1915635</v>
      </c>
    </row>
  </sheetData>
  <mergeCells count="1">
    <mergeCell ref="A1:N2"/>
  </mergeCells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B6EE6-B135-48AB-92AB-F6F2A375B020}">
  <dimension ref="A1:B41"/>
  <sheetViews>
    <sheetView topLeftCell="A26" workbookViewId="0">
      <selection activeCell="A41" sqref="A41:B41"/>
    </sheetView>
  </sheetViews>
  <sheetFormatPr defaultRowHeight="14.4" x14ac:dyDescent="0.3"/>
  <cols>
    <col min="1" max="1" width="22.5546875" customWidth="1"/>
    <col min="2" max="2" width="17.77734375" customWidth="1"/>
  </cols>
  <sheetData>
    <row r="1" spans="1:2" x14ac:dyDescent="0.3">
      <c r="A1" t="s">
        <v>131</v>
      </c>
      <c r="B1" t="s">
        <v>132</v>
      </c>
    </row>
    <row r="2" spans="1:2" x14ac:dyDescent="0.3">
      <c r="A2" s="39" t="s">
        <v>112</v>
      </c>
      <c r="B2" s="40" t="s">
        <v>113</v>
      </c>
    </row>
    <row r="3" spans="1:2" x14ac:dyDescent="0.3">
      <c r="A3" s="41" t="s">
        <v>114</v>
      </c>
      <c r="B3" s="42" t="s">
        <v>115</v>
      </c>
    </row>
    <row r="4" spans="1:2" x14ac:dyDescent="0.3">
      <c r="A4" s="39" t="s">
        <v>116</v>
      </c>
      <c r="B4" s="40" t="s">
        <v>115</v>
      </c>
    </row>
    <row r="5" spans="1:2" ht="28.8" x14ac:dyDescent="0.3">
      <c r="A5" s="41" t="s">
        <v>117</v>
      </c>
      <c r="B5" s="42" t="s">
        <v>115</v>
      </c>
    </row>
    <row r="6" spans="1:2" ht="28.8" x14ac:dyDescent="0.3">
      <c r="A6" s="39" t="s">
        <v>118</v>
      </c>
      <c r="B6" s="40" t="s">
        <v>115</v>
      </c>
    </row>
    <row r="7" spans="1:2" ht="28.8" x14ac:dyDescent="0.3">
      <c r="A7" s="41" t="s">
        <v>119</v>
      </c>
      <c r="B7" s="42" t="s">
        <v>120</v>
      </c>
    </row>
    <row r="8" spans="1:2" x14ac:dyDescent="0.3">
      <c r="A8" s="39" t="s">
        <v>44</v>
      </c>
      <c r="B8" s="40" t="s">
        <v>121</v>
      </c>
    </row>
    <row r="9" spans="1:2" ht="28.8" x14ac:dyDescent="0.3">
      <c r="A9" s="41" t="s">
        <v>122</v>
      </c>
      <c r="B9" s="42" t="s">
        <v>123</v>
      </c>
    </row>
    <row r="10" spans="1:2" x14ac:dyDescent="0.3">
      <c r="A10" s="39" t="s">
        <v>84</v>
      </c>
      <c r="B10" s="40" t="s">
        <v>123</v>
      </c>
    </row>
    <row r="11" spans="1:2" x14ac:dyDescent="0.3">
      <c r="A11" s="41" t="s">
        <v>124</v>
      </c>
      <c r="B11" s="42" t="s">
        <v>123</v>
      </c>
    </row>
    <row r="12" spans="1:2" x14ac:dyDescent="0.3">
      <c r="A12" s="39" t="s">
        <v>125</v>
      </c>
      <c r="B12" s="40" t="s">
        <v>123</v>
      </c>
    </row>
    <row r="13" spans="1:2" ht="28.8" x14ac:dyDescent="0.3">
      <c r="A13" s="41" t="s">
        <v>126</v>
      </c>
      <c r="B13" s="42" t="s">
        <v>123</v>
      </c>
    </row>
    <row r="14" spans="1:2" ht="28.8" x14ac:dyDescent="0.3">
      <c r="A14" s="39" t="s">
        <v>21</v>
      </c>
      <c r="B14" s="40" t="s">
        <v>127</v>
      </c>
    </row>
    <row r="15" spans="1:2" x14ac:dyDescent="0.3">
      <c r="A15" s="41" t="s">
        <v>53</v>
      </c>
      <c r="B15" s="42" t="s">
        <v>127</v>
      </c>
    </row>
    <row r="16" spans="1:2" x14ac:dyDescent="0.3">
      <c r="A16" s="39" t="s">
        <v>128</v>
      </c>
      <c r="B16" s="40" t="s">
        <v>127</v>
      </c>
    </row>
    <row r="17" spans="1:2" x14ac:dyDescent="0.3">
      <c r="A17" s="43" t="s">
        <v>129</v>
      </c>
      <c r="B17" s="44" t="s">
        <v>130</v>
      </c>
    </row>
    <row r="18" spans="1:2" x14ac:dyDescent="0.3">
      <c r="A18" s="41" t="s">
        <v>133</v>
      </c>
      <c r="B18" s="42" t="s">
        <v>123</v>
      </c>
    </row>
    <row r="19" spans="1:2" x14ac:dyDescent="0.3">
      <c r="A19" s="41" t="s">
        <v>90</v>
      </c>
      <c r="B19" s="42" t="s">
        <v>123</v>
      </c>
    </row>
    <row r="20" spans="1:2" x14ac:dyDescent="0.3">
      <c r="A20" s="41" t="s">
        <v>134</v>
      </c>
      <c r="B20" s="42" t="s">
        <v>115</v>
      </c>
    </row>
    <row r="21" spans="1:2" x14ac:dyDescent="0.3">
      <c r="A21" s="41" t="s">
        <v>85</v>
      </c>
      <c r="B21" s="42" t="s">
        <v>115</v>
      </c>
    </row>
    <row r="22" spans="1:2" x14ac:dyDescent="0.3">
      <c r="A22" s="43" t="s">
        <v>89</v>
      </c>
      <c r="B22" s="44" t="s">
        <v>115</v>
      </c>
    </row>
    <row r="23" spans="1:2" x14ac:dyDescent="0.3">
      <c r="A23" s="43" t="s">
        <v>135</v>
      </c>
      <c r="B23" s="44" t="s">
        <v>123</v>
      </c>
    </row>
    <row r="24" spans="1:2" x14ac:dyDescent="0.3">
      <c r="A24" s="43" t="s">
        <v>136</v>
      </c>
      <c r="B24" s="44" t="s">
        <v>130</v>
      </c>
    </row>
    <row r="25" spans="1:2" x14ac:dyDescent="0.3">
      <c r="A25" s="41" t="s">
        <v>137</v>
      </c>
      <c r="B25" s="42" t="s">
        <v>123</v>
      </c>
    </row>
    <row r="26" spans="1:2" x14ac:dyDescent="0.3">
      <c r="A26" s="43" t="s">
        <v>138</v>
      </c>
      <c r="B26" s="44" t="s">
        <v>120</v>
      </c>
    </row>
    <row r="27" spans="1:2" x14ac:dyDescent="0.3">
      <c r="A27" s="43" t="s">
        <v>139</v>
      </c>
      <c r="B27" s="44" t="s">
        <v>115</v>
      </c>
    </row>
    <row r="28" spans="1:2" x14ac:dyDescent="0.3">
      <c r="A28" s="43" t="s">
        <v>140</v>
      </c>
      <c r="B28" s="44" t="s">
        <v>123</v>
      </c>
    </row>
    <row r="29" spans="1:2" x14ac:dyDescent="0.3">
      <c r="A29" s="43" t="s">
        <v>141</v>
      </c>
      <c r="B29" s="44" t="s">
        <v>123</v>
      </c>
    </row>
    <row r="30" spans="1:2" x14ac:dyDescent="0.3">
      <c r="A30" s="43" t="s">
        <v>3</v>
      </c>
      <c r="B30" s="44" t="s">
        <v>115</v>
      </c>
    </row>
    <row r="31" spans="1:2" x14ac:dyDescent="0.3">
      <c r="A31" s="41" t="s">
        <v>142</v>
      </c>
      <c r="B31" s="42" t="s">
        <v>123</v>
      </c>
    </row>
    <row r="32" spans="1:2" x14ac:dyDescent="0.3">
      <c r="A32" s="46" t="s">
        <v>143</v>
      </c>
      <c r="B32" s="47" t="s">
        <v>123</v>
      </c>
    </row>
    <row r="33" spans="1:2" x14ac:dyDescent="0.3">
      <c r="A33" s="46" t="s">
        <v>144</v>
      </c>
      <c r="B33" s="47" t="s">
        <v>123</v>
      </c>
    </row>
    <row r="34" spans="1:2" x14ac:dyDescent="0.3">
      <c r="A34" s="46" t="s">
        <v>145</v>
      </c>
      <c r="B34" s="47" t="s">
        <v>123</v>
      </c>
    </row>
    <row r="35" spans="1:2" x14ac:dyDescent="0.3">
      <c r="A35" s="46" t="s">
        <v>146</v>
      </c>
      <c r="B35" s="47" t="s">
        <v>115</v>
      </c>
    </row>
    <row r="36" spans="1:2" x14ac:dyDescent="0.3">
      <c r="A36" s="46" t="s">
        <v>147</v>
      </c>
      <c r="B36" s="47" t="s">
        <v>115</v>
      </c>
    </row>
    <row r="37" spans="1:2" x14ac:dyDescent="0.3">
      <c r="A37" s="46" t="s">
        <v>148</v>
      </c>
      <c r="B37" s="47" t="s">
        <v>123</v>
      </c>
    </row>
    <row r="38" spans="1:2" x14ac:dyDescent="0.3">
      <c r="A38" s="46" t="s">
        <v>149</v>
      </c>
      <c r="B38" s="47" t="s">
        <v>123</v>
      </c>
    </row>
    <row r="39" spans="1:2" x14ac:dyDescent="0.3">
      <c r="A39" s="46" t="s">
        <v>150</v>
      </c>
      <c r="B39" s="47" t="s">
        <v>123</v>
      </c>
    </row>
    <row r="40" spans="1:2" x14ac:dyDescent="0.3">
      <c r="A40" s="48" t="s">
        <v>151</v>
      </c>
      <c r="B40" s="49" t="s">
        <v>152</v>
      </c>
    </row>
    <row r="41" spans="1:2" x14ac:dyDescent="0.3">
      <c r="A41" s="43" t="s">
        <v>153</v>
      </c>
      <c r="B41" s="44" t="s">
        <v>120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topLeftCell="A9" workbookViewId="0">
      <selection activeCell="G25" sqref="G25"/>
    </sheetView>
  </sheetViews>
  <sheetFormatPr defaultRowHeight="15.6" x14ac:dyDescent="0.3"/>
  <cols>
    <col min="1" max="1" width="13" style="13" customWidth="1"/>
    <col min="2" max="2" width="37" style="3" customWidth="1"/>
    <col min="3" max="3" width="18.44140625" style="3" customWidth="1"/>
    <col min="4" max="4" width="17.6640625" customWidth="1"/>
  </cols>
  <sheetData>
    <row r="1" spans="1:5" ht="14.25" customHeight="1" x14ac:dyDescent="0.3">
      <c r="A1" s="32" t="s">
        <v>1</v>
      </c>
      <c r="B1" s="37" t="s">
        <v>12</v>
      </c>
      <c r="C1" s="37" t="s">
        <v>111</v>
      </c>
      <c r="D1" s="38" t="s">
        <v>0</v>
      </c>
      <c r="E1" s="22"/>
    </row>
    <row r="2" spans="1:5" x14ac:dyDescent="0.3">
      <c r="A2" s="12">
        <v>45932</v>
      </c>
      <c r="B2" s="26" t="s">
        <v>44</v>
      </c>
      <c r="C2" s="26"/>
      <c r="D2" s="36">
        <v>50000</v>
      </c>
      <c r="E2" s="24"/>
    </row>
    <row r="3" spans="1:5" x14ac:dyDescent="0.3">
      <c r="A3" s="12">
        <v>45932</v>
      </c>
      <c r="B3" s="26" t="s">
        <v>80</v>
      </c>
      <c r="C3" s="26"/>
      <c r="D3" s="36">
        <v>3000</v>
      </c>
      <c r="E3" s="24"/>
    </row>
    <row r="4" spans="1:5" x14ac:dyDescent="0.3">
      <c r="A4" s="12">
        <v>45932</v>
      </c>
      <c r="B4" s="26" t="s">
        <v>51</v>
      </c>
      <c r="C4" s="26" t="s">
        <v>81</v>
      </c>
      <c r="D4" s="36">
        <v>52000</v>
      </c>
      <c r="E4" s="24"/>
    </row>
    <row r="5" spans="1:5" x14ac:dyDescent="0.3">
      <c r="A5" s="12">
        <v>45932</v>
      </c>
      <c r="B5" s="26" t="s">
        <v>53</v>
      </c>
      <c r="C5" s="26"/>
      <c r="D5" s="36">
        <v>3000</v>
      </c>
      <c r="E5" s="24"/>
    </row>
    <row r="6" spans="1:5" x14ac:dyDescent="0.3">
      <c r="A6" s="12">
        <v>45932</v>
      </c>
      <c r="B6" s="26" t="s">
        <v>82</v>
      </c>
      <c r="C6" s="26" t="s">
        <v>81</v>
      </c>
      <c r="D6" s="36">
        <v>10000</v>
      </c>
      <c r="E6" s="24"/>
    </row>
    <row r="7" spans="1:5" x14ac:dyDescent="0.3">
      <c r="A7" s="12">
        <v>45936</v>
      </c>
      <c r="B7" s="26" t="s">
        <v>83</v>
      </c>
      <c r="C7" s="26"/>
      <c r="D7" s="36">
        <v>6000</v>
      </c>
      <c r="E7" s="24"/>
    </row>
    <row r="8" spans="1:5" x14ac:dyDescent="0.3">
      <c r="A8" s="12">
        <v>45936</v>
      </c>
      <c r="B8" s="26" t="s">
        <v>84</v>
      </c>
      <c r="C8" s="26"/>
      <c r="D8" s="36">
        <v>5000</v>
      </c>
      <c r="E8" s="24"/>
    </row>
    <row r="9" spans="1:5" x14ac:dyDescent="0.3">
      <c r="A9" s="12">
        <v>45936</v>
      </c>
      <c r="B9" s="26" t="s">
        <v>85</v>
      </c>
      <c r="C9" s="26"/>
      <c r="D9" s="36">
        <v>14000</v>
      </c>
      <c r="E9" s="24"/>
    </row>
    <row r="10" spans="1:5" ht="28.8" x14ac:dyDescent="0.3">
      <c r="A10" s="12">
        <v>45936</v>
      </c>
      <c r="B10" s="26" t="s">
        <v>86</v>
      </c>
      <c r="C10" s="26"/>
      <c r="D10" s="36">
        <v>3000</v>
      </c>
      <c r="E10" s="24"/>
    </row>
    <row r="11" spans="1:5" x14ac:dyDescent="0.3">
      <c r="A11" s="12">
        <v>45936</v>
      </c>
      <c r="B11" s="26" t="s">
        <v>87</v>
      </c>
      <c r="C11" s="26"/>
      <c r="D11" s="36">
        <v>5000</v>
      </c>
      <c r="E11" s="24"/>
    </row>
    <row r="12" spans="1:5" x14ac:dyDescent="0.3">
      <c r="A12" s="12">
        <v>45936</v>
      </c>
      <c r="B12" s="26" t="s">
        <v>88</v>
      </c>
      <c r="C12" s="26"/>
      <c r="D12" s="36">
        <v>1000</v>
      </c>
      <c r="E12" s="24"/>
    </row>
    <row r="13" spans="1:5" x14ac:dyDescent="0.3">
      <c r="A13" s="12">
        <v>45936</v>
      </c>
      <c r="B13" s="26" t="s">
        <v>56</v>
      </c>
      <c r="C13" s="26" t="s">
        <v>52</v>
      </c>
      <c r="D13" s="36">
        <v>146500</v>
      </c>
      <c r="E13" s="24"/>
    </row>
    <row r="14" spans="1:5" x14ac:dyDescent="0.3">
      <c r="A14" s="12" t="s">
        <v>64</v>
      </c>
      <c r="B14" s="26" t="s">
        <v>89</v>
      </c>
      <c r="C14" s="26"/>
      <c r="D14" s="36">
        <v>3000</v>
      </c>
      <c r="E14" s="24"/>
    </row>
    <row r="15" spans="1:5" x14ac:dyDescent="0.3">
      <c r="A15" s="12" t="s">
        <v>64</v>
      </c>
      <c r="B15" s="26" t="s">
        <v>90</v>
      </c>
      <c r="C15" s="26"/>
      <c r="D15" s="36">
        <v>1500</v>
      </c>
      <c r="E15" s="24"/>
    </row>
    <row r="16" spans="1:5" x14ac:dyDescent="0.3">
      <c r="A16" s="12" t="s">
        <v>64</v>
      </c>
      <c r="B16" s="26" t="s">
        <v>44</v>
      </c>
      <c r="C16" s="26"/>
      <c r="D16" s="36">
        <v>51000</v>
      </c>
      <c r="E16" s="24"/>
    </row>
    <row r="17" spans="1:5" x14ac:dyDescent="0.3">
      <c r="A17" s="12" t="s">
        <v>64</v>
      </c>
      <c r="B17" s="26" t="s">
        <v>91</v>
      </c>
      <c r="C17" s="26"/>
      <c r="D17" s="36">
        <v>3800</v>
      </c>
      <c r="E17" s="24"/>
    </row>
    <row r="18" spans="1:5" x14ac:dyDescent="0.3">
      <c r="A18" s="12" t="s">
        <v>78</v>
      </c>
      <c r="B18" s="26" t="s">
        <v>92</v>
      </c>
      <c r="C18" s="26"/>
      <c r="D18" s="36">
        <v>5000</v>
      </c>
      <c r="E18" s="24"/>
    </row>
    <row r="19" spans="1:5" x14ac:dyDescent="0.3">
      <c r="A19" s="12" t="s">
        <v>78</v>
      </c>
      <c r="B19" s="26" t="s">
        <v>51</v>
      </c>
      <c r="C19" s="26"/>
      <c r="D19" s="36">
        <v>64500</v>
      </c>
      <c r="E19" s="24"/>
    </row>
    <row r="20" spans="1:5" x14ac:dyDescent="0.3">
      <c r="A20" s="12" t="s">
        <v>78</v>
      </c>
      <c r="B20" s="26" t="s">
        <v>93</v>
      </c>
      <c r="C20" s="26"/>
      <c r="D20" s="36">
        <v>2000</v>
      </c>
      <c r="E20" s="24"/>
    </row>
    <row r="21" spans="1:5" x14ac:dyDescent="0.3">
      <c r="A21" s="12" t="s">
        <v>78</v>
      </c>
      <c r="B21" s="26" t="s">
        <v>51</v>
      </c>
      <c r="C21" s="26" t="s">
        <v>94</v>
      </c>
      <c r="D21" s="36">
        <v>480000</v>
      </c>
      <c r="E21" s="24"/>
    </row>
    <row r="22" spans="1:5" x14ac:dyDescent="0.3">
      <c r="A22" s="12" t="s">
        <v>78</v>
      </c>
      <c r="B22" s="26" t="s">
        <v>51</v>
      </c>
      <c r="C22" s="26" t="s">
        <v>95</v>
      </c>
      <c r="D22" s="36">
        <v>162800</v>
      </c>
      <c r="E22" s="24"/>
    </row>
    <row r="23" spans="1:5" x14ac:dyDescent="0.3">
      <c r="A23" s="12" t="s">
        <v>78</v>
      </c>
      <c r="B23" s="26" t="s">
        <v>96</v>
      </c>
      <c r="C23" s="26"/>
      <c r="D23" s="36">
        <v>365</v>
      </c>
      <c r="E23" s="24"/>
    </row>
    <row r="24" spans="1:5" x14ac:dyDescent="0.3">
      <c r="A24" s="50">
        <v>45961</v>
      </c>
      <c r="B24" s="51" t="s">
        <v>151</v>
      </c>
      <c r="C24" s="51"/>
      <c r="D24" s="52">
        <f>170000+1445000</f>
        <v>1615000</v>
      </c>
      <c r="E24" s="22"/>
    </row>
    <row r="25" spans="1:5" x14ac:dyDescent="0.3">
      <c r="A25" s="27"/>
      <c r="B25" s="23"/>
      <c r="C25" s="23"/>
      <c r="D25" s="22"/>
      <c r="E25" s="2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26"/>
  <sheetViews>
    <sheetView topLeftCell="A4" workbookViewId="0">
      <selection activeCell="B12" sqref="B12"/>
    </sheetView>
  </sheetViews>
  <sheetFormatPr defaultRowHeight="14.4" x14ac:dyDescent="0.3"/>
  <cols>
    <col min="1" max="1" width="30.21875" customWidth="1"/>
    <col min="2" max="2" width="11.77734375" style="4" customWidth="1"/>
    <col min="3" max="3" width="13.77734375" style="4" customWidth="1"/>
    <col min="5" max="7" width="13.21875" bestFit="1" customWidth="1"/>
    <col min="9" max="9" width="13.21875" bestFit="1" customWidth="1"/>
  </cols>
  <sheetData>
    <row r="2" spans="1:9" ht="18" x14ac:dyDescent="0.35">
      <c r="A2" s="9" t="s">
        <v>98</v>
      </c>
    </row>
    <row r="3" spans="1:9" x14ac:dyDescent="0.3">
      <c r="B3" s="4" t="s">
        <v>14</v>
      </c>
      <c r="C3" s="4" t="s">
        <v>14</v>
      </c>
    </row>
    <row r="4" spans="1:9" x14ac:dyDescent="0.3">
      <c r="A4" t="s">
        <v>25</v>
      </c>
      <c r="C4" s="4">
        <f>[1]REVENUE!M35</f>
        <v>2163050</v>
      </c>
    </row>
    <row r="5" spans="1:9" x14ac:dyDescent="0.3">
      <c r="A5" t="s">
        <v>99</v>
      </c>
      <c r="B5" s="4">
        <v>1579450</v>
      </c>
      <c r="C5" s="8"/>
    </row>
    <row r="6" spans="1:9" x14ac:dyDescent="0.3">
      <c r="A6" t="s">
        <v>28</v>
      </c>
      <c r="B6" s="4">
        <f>[1]MEDICATIONS!E18</f>
        <v>788300</v>
      </c>
    </row>
    <row r="7" spans="1:9" x14ac:dyDescent="0.3">
      <c r="A7" t="s">
        <v>15</v>
      </c>
      <c r="B7" s="4">
        <f>[1]MEDICATIONS!E24</f>
        <v>5000</v>
      </c>
      <c r="F7" s="4"/>
      <c r="G7" s="4"/>
    </row>
    <row r="8" spans="1:9" x14ac:dyDescent="0.3">
      <c r="A8" t="s">
        <v>100</v>
      </c>
      <c r="B8" s="4">
        <v>1450000</v>
      </c>
      <c r="E8" s="4"/>
      <c r="F8" s="28"/>
      <c r="G8" s="4"/>
    </row>
    <row r="9" spans="1:9" ht="15" thickBot="1" x14ac:dyDescent="0.35">
      <c r="A9" t="s">
        <v>16</v>
      </c>
      <c r="C9" s="4">
        <f>B5+B6+B7-B8</f>
        <v>922750</v>
      </c>
      <c r="E9" s="28"/>
      <c r="F9" s="28"/>
      <c r="I9" s="28"/>
    </row>
    <row r="10" spans="1:9" ht="15" thickBot="1" x14ac:dyDescent="0.35">
      <c r="A10" s="5" t="s">
        <v>17</v>
      </c>
      <c r="B10" s="6"/>
      <c r="C10" s="7">
        <f>C4-C9</f>
        <v>1240300</v>
      </c>
      <c r="F10" s="4"/>
      <c r="I10" s="16"/>
    </row>
    <row r="11" spans="1:9" x14ac:dyDescent="0.3">
      <c r="A11" s="2" t="s">
        <v>18</v>
      </c>
      <c r="G11" s="4"/>
    </row>
    <row r="12" spans="1:9" x14ac:dyDescent="0.3">
      <c r="A12" t="s">
        <v>19</v>
      </c>
      <c r="B12" s="4">
        <f>170000+1445000</f>
        <v>1615000</v>
      </c>
      <c r="F12" s="28"/>
    </row>
    <row r="13" spans="1:9" x14ac:dyDescent="0.3">
      <c r="A13" t="s">
        <v>35</v>
      </c>
      <c r="B13" s="4">
        <f>'[1]MAINTENANCE-OFFICE SUPPLIES'!E21</f>
        <v>178165</v>
      </c>
      <c r="F13" s="19"/>
    </row>
    <row r="14" spans="1:9" x14ac:dyDescent="0.3">
      <c r="A14" t="s">
        <v>20</v>
      </c>
      <c r="B14" s="4">
        <f>'[1]MAINTENANCE-OFFICE SUPPLIES'!E30</f>
        <v>101000</v>
      </c>
      <c r="F14" s="28"/>
    </row>
    <row r="15" spans="1:9" x14ac:dyDescent="0.3">
      <c r="A15" t="s">
        <v>39</v>
      </c>
      <c r="E15" s="4"/>
      <c r="F15" s="28"/>
      <c r="G15" s="28"/>
    </row>
    <row r="16" spans="1:9" ht="15" thickBot="1" x14ac:dyDescent="0.35">
      <c r="A16" t="s">
        <v>21</v>
      </c>
      <c r="C16" s="4">
        <f>B12+B13+B14+B15+B16</f>
        <v>1894165</v>
      </c>
      <c r="G16" s="28"/>
    </row>
    <row r="17" spans="1:7" ht="15" thickBot="1" x14ac:dyDescent="0.35">
      <c r="A17" s="5" t="s">
        <v>22</v>
      </c>
      <c r="B17" s="6"/>
      <c r="C17" s="7">
        <f>C10-C16</f>
        <v>-653865</v>
      </c>
      <c r="F17" s="28"/>
      <c r="G17" s="28"/>
    </row>
    <row r="18" spans="1:7" x14ac:dyDescent="0.3">
      <c r="G18" s="28"/>
    </row>
    <row r="19" spans="1:7" x14ac:dyDescent="0.3">
      <c r="G19" s="4"/>
    </row>
    <row r="20" spans="1:7" x14ac:dyDescent="0.3">
      <c r="F20" s="28"/>
      <c r="G20" s="28"/>
    </row>
    <row r="21" spans="1:7" x14ac:dyDescent="0.3">
      <c r="A21" t="s">
        <v>36</v>
      </c>
      <c r="C21" s="4">
        <v>108000</v>
      </c>
    </row>
    <row r="22" spans="1:7" x14ac:dyDescent="0.3">
      <c r="A22" t="s">
        <v>101</v>
      </c>
      <c r="C22" s="4">
        <v>27500</v>
      </c>
    </row>
    <row r="23" spans="1:7" x14ac:dyDescent="0.3">
      <c r="A23" t="s">
        <v>54</v>
      </c>
      <c r="C23" s="4">
        <v>189500</v>
      </c>
      <c r="G23" s="4"/>
    </row>
    <row r="24" spans="1:7" x14ac:dyDescent="0.3">
      <c r="A24" s="16" t="s">
        <v>45</v>
      </c>
      <c r="C24" s="4">
        <v>123000</v>
      </c>
    </row>
    <row r="25" spans="1:7" x14ac:dyDescent="0.3">
      <c r="A25" s="16"/>
      <c r="C25" s="4">
        <f>C21+C22+C23+C24</f>
        <v>448000</v>
      </c>
    </row>
    <row r="26" spans="1:7" x14ac:dyDescent="0.3">
      <c r="A26" t="s">
        <v>102</v>
      </c>
      <c r="C26" s="4">
        <f>C17+C25</f>
        <v>-205865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1"/>
  <sheetViews>
    <sheetView topLeftCell="A6" zoomScale="85" zoomScaleNormal="85" workbookViewId="0">
      <selection activeCell="G27" sqref="G27"/>
    </sheetView>
  </sheetViews>
  <sheetFormatPr defaultRowHeight="14.4" x14ac:dyDescent="0.3"/>
  <cols>
    <col min="1" max="1" width="13.5546875" style="17" customWidth="1"/>
    <col min="2" max="2" width="38.5546875" customWidth="1"/>
    <col min="3" max="3" width="9.21875" customWidth="1"/>
    <col min="4" max="4" width="9.77734375" customWidth="1"/>
    <col min="5" max="6" width="9.21875"/>
  </cols>
  <sheetData>
    <row r="1" spans="1:6" x14ac:dyDescent="0.3">
      <c r="A1" s="22" t="s">
        <v>1</v>
      </c>
      <c r="B1" s="23" t="s">
        <v>12</v>
      </c>
      <c r="C1" s="23"/>
      <c r="D1" s="30" t="s">
        <v>11</v>
      </c>
      <c r="E1" s="22" t="s">
        <v>0</v>
      </c>
    </row>
    <row r="2" spans="1:6" ht="15.6" x14ac:dyDescent="0.3">
      <c r="A2" s="12">
        <v>45698</v>
      </c>
      <c r="B2" s="26" t="s">
        <v>80</v>
      </c>
      <c r="C2" s="26"/>
      <c r="D2" s="24"/>
      <c r="E2" s="24">
        <v>3000</v>
      </c>
      <c r="F2" s="24"/>
    </row>
    <row r="3" spans="1:6" ht="15.6" x14ac:dyDescent="0.3">
      <c r="A3" s="12">
        <v>45818</v>
      </c>
      <c r="B3" s="26" t="s">
        <v>83</v>
      </c>
      <c r="C3" s="26"/>
      <c r="D3" s="24"/>
      <c r="E3" s="24">
        <v>6000</v>
      </c>
      <c r="F3" s="24"/>
    </row>
    <row r="4" spans="1:6" ht="15.6" x14ac:dyDescent="0.3">
      <c r="A4" s="12">
        <v>45818</v>
      </c>
      <c r="B4" s="26" t="s">
        <v>84</v>
      </c>
      <c r="C4" s="26"/>
      <c r="D4" s="24"/>
      <c r="E4" s="24">
        <v>5000</v>
      </c>
      <c r="F4" s="24"/>
    </row>
    <row r="5" spans="1:6" ht="15.6" x14ac:dyDescent="0.3">
      <c r="A5" s="12">
        <v>45818</v>
      </c>
      <c r="B5" s="26" t="s">
        <v>86</v>
      </c>
      <c r="C5" s="26"/>
      <c r="D5" s="24"/>
      <c r="E5" s="24">
        <v>3000</v>
      </c>
      <c r="F5" s="24"/>
    </row>
    <row r="6" spans="1:6" ht="15.6" x14ac:dyDescent="0.3">
      <c r="A6" s="12">
        <v>45818</v>
      </c>
      <c r="B6" s="26" t="s">
        <v>88</v>
      </c>
      <c r="C6" s="26"/>
      <c r="D6" s="24"/>
      <c r="E6" s="24">
        <v>1000</v>
      </c>
      <c r="F6" s="24"/>
    </row>
    <row r="7" spans="1:6" ht="28.8" x14ac:dyDescent="0.3">
      <c r="A7" s="12">
        <v>45818</v>
      </c>
      <c r="B7" s="26" t="s">
        <v>56</v>
      </c>
      <c r="C7" s="26" t="s">
        <v>52</v>
      </c>
      <c r="D7" s="24"/>
      <c r="E7" s="24">
        <v>146500</v>
      </c>
      <c r="F7" s="24"/>
    </row>
    <row r="8" spans="1:6" ht="15.6" x14ac:dyDescent="0.3">
      <c r="A8" s="12" t="s">
        <v>64</v>
      </c>
      <c r="B8" s="26" t="s">
        <v>89</v>
      </c>
      <c r="C8" s="26"/>
      <c r="D8" s="24"/>
      <c r="E8" s="24">
        <v>3000</v>
      </c>
      <c r="F8" s="24"/>
    </row>
    <row r="9" spans="1:6" ht="15.6" x14ac:dyDescent="0.3">
      <c r="A9" s="12" t="s">
        <v>64</v>
      </c>
      <c r="B9" s="26" t="s">
        <v>90</v>
      </c>
      <c r="C9" s="26"/>
      <c r="D9" s="24"/>
      <c r="E9" s="24">
        <v>1500</v>
      </c>
      <c r="F9" s="24"/>
    </row>
    <row r="10" spans="1:6" ht="15.6" x14ac:dyDescent="0.3">
      <c r="A10" s="12" t="s">
        <v>64</v>
      </c>
      <c r="B10" s="26" t="s">
        <v>91</v>
      </c>
      <c r="C10" s="26"/>
      <c r="D10" s="24"/>
      <c r="E10" s="24">
        <v>3800</v>
      </c>
      <c r="F10" s="24"/>
    </row>
    <row r="11" spans="1:6" ht="15.6" x14ac:dyDescent="0.3">
      <c r="A11" s="12" t="s">
        <v>78</v>
      </c>
      <c r="B11" s="26" t="s">
        <v>92</v>
      </c>
      <c r="C11" s="26"/>
      <c r="D11" s="24"/>
      <c r="E11" s="24">
        <v>5000</v>
      </c>
      <c r="F11" s="24"/>
    </row>
    <row r="12" spans="1:6" ht="15.6" x14ac:dyDescent="0.3">
      <c r="A12" s="12" t="s">
        <v>78</v>
      </c>
      <c r="B12" s="26" t="s">
        <v>96</v>
      </c>
      <c r="C12" s="26"/>
      <c r="D12" s="24"/>
      <c r="E12" s="24">
        <v>365</v>
      </c>
      <c r="F12" s="24"/>
    </row>
    <row r="13" spans="1:6" ht="15.6" x14ac:dyDescent="0.3">
      <c r="A13" s="12" t="s">
        <v>78</v>
      </c>
      <c r="B13" s="26" t="s">
        <v>57</v>
      </c>
      <c r="C13" s="26"/>
      <c r="D13" s="24"/>
      <c r="E13" s="24"/>
      <c r="F13" s="24"/>
    </row>
    <row r="14" spans="1:6" ht="15.6" x14ac:dyDescent="0.3">
      <c r="A14" s="12" t="s">
        <v>78</v>
      </c>
      <c r="B14" s="26" t="s">
        <v>58</v>
      </c>
      <c r="C14" s="26"/>
      <c r="D14" s="24"/>
      <c r="E14" s="24"/>
      <c r="F14" s="24"/>
    </row>
    <row r="15" spans="1:6" ht="15.6" x14ac:dyDescent="0.3">
      <c r="A15" s="12"/>
      <c r="B15" s="26"/>
      <c r="C15" s="26"/>
      <c r="D15" s="24"/>
      <c r="E15" s="24"/>
      <c r="F15" s="24"/>
    </row>
    <row r="16" spans="1:6" ht="15.6" x14ac:dyDescent="0.3">
      <c r="A16" s="12"/>
      <c r="B16" s="26"/>
      <c r="C16" s="26"/>
      <c r="D16" s="24"/>
      <c r="E16" s="24"/>
      <c r="F16" s="24"/>
    </row>
    <row r="17" spans="1:6" ht="15.6" x14ac:dyDescent="0.3">
      <c r="A17" s="12"/>
      <c r="B17" s="26"/>
      <c r="C17" s="26"/>
      <c r="D17" s="24"/>
      <c r="E17" s="24"/>
      <c r="F17" s="24"/>
    </row>
    <row r="18" spans="1:6" ht="15.6" x14ac:dyDescent="0.3">
      <c r="A18" s="12"/>
      <c r="B18" s="26"/>
      <c r="C18" s="26"/>
      <c r="D18" s="24"/>
      <c r="E18" s="24"/>
      <c r="F18" s="24"/>
    </row>
    <row r="19" spans="1:6" ht="15.6" x14ac:dyDescent="0.3">
      <c r="A19" s="12"/>
      <c r="B19" s="26"/>
      <c r="C19" s="26"/>
      <c r="D19" s="24"/>
      <c r="E19" s="24"/>
      <c r="F19" s="24"/>
    </row>
    <row r="20" spans="1:6" ht="15.6" x14ac:dyDescent="0.3">
      <c r="A20" s="12"/>
      <c r="B20" s="26"/>
      <c r="C20" s="26"/>
      <c r="D20" s="24"/>
      <c r="E20" s="24"/>
      <c r="F20" s="24"/>
    </row>
    <row r="21" spans="1:6" x14ac:dyDescent="0.3">
      <c r="A21" s="25"/>
      <c r="B21" s="22" t="s">
        <v>9</v>
      </c>
      <c r="C21" s="22"/>
      <c r="D21" s="30"/>
      <c r="E21" s="22">
        <f>SUM(E2:E20)</f>
        <v>178165</v>
      </c>
    </row>
    <row r="22" spans="1:6" x14ac:dyDescent="0.3">
      <c r="A22" s="18"/>
      <c r="E22" s="31"/>
    </row>
    <row r="23" spans="1:6" x14ac:dyDescent="0.3">
      <c r="A23" s="18"/>
    </row>
    <row r="24" spans="1:6" x14ac:dyDescent="0.3">
      <c r="A24" s="18"/>
    </row>
    <row r="25" spans="1:6" x14ac:dyDescent="0.3">
      <c r="A25" s="18"/>
      <c r="E25" s="32"/>
    </row>
    <row r="26" spans="1:6" ht="15.6" x14ac:dyDescent="0.3">
      <c r="A26" s="12">
        <v>45698</v>
      </c>
      <c r="B26" s="26" t="s">
        <v>44</v>
      </c>
      <c r="C26" s="26"/>
      <c r="D26" s="24"/>
      <c r="E26" s="24">
        <v>50000</v>
      </c>
      <c r="F26" s="24"/>
    </row>
    <row r="27" spans="1:6" ht="15.6" x14ac:dyDescent="0.3">
      <c r="A27" s="12" t="s">
        <v>64</v>
      </c>
      <c r="B27" s="26" t="s">
        <v>44</v>
      </c>
      <c r="C27" s="26"/>
      <c r="D27" s="24"/>
      <c r="E27" s="24">
        <v>51000</v>
      </c>
      <c r="F27" s="24"/>
    </row>
    <row r="28" spans="1:6" ht="15.6" x14ac:dyDescent="0.3">
      <c r="A28" s="12"/>
      <c r="B28" s="26"/>
      <c r="C28" s="26"/>
      <c r="D28" s="24"/>
      <c r="E28" s="24"/>
      <c r="F28" s="24"/>
    </row>
    <row r="29" spans="1:6" ht="15.6" x14ac:dyDescent="0.3">
      <c r="A29" s="12"/>
      <c r="B29" s="26"/>
      <c r="C29" s="26"/>
      <c r="D29" s="24"/>
      <c r="E29" s="24"/>
      <c r="F29" s="24"/>
    </row>
    <row r="30" spans="1:6" x14ac:dyDescent="0.3">
      <c r="A30" s="18"/>
      <c r="E30" s="22">
        <f>SUM(E26:E29)</f>
        <v>101000</v>
      </c>
    </row>
    <row r="31" spans="1:6" x14ac:dyDescent="0.3">
      <c r="E31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"/>
  <sheetViews>
    <sheetView topLeftCell="A9" workbookViewId="0">
      <selection activeCell="A8" sqref="A8"/>
    </sheetView>
  </sheetViews>
  <sheetFormatPr defaultRowHeight="14.4" x14ac:dyDescent="0.3"/>
  <cols>
    <col min="1" max="1" width="13.44140625" style="21" customWidth="1"/>
    <col min="2" max="2" width="28" customWidth="1"/>
    <col min="3" max="3" width="16.77734375" customWidth="1"/>
    <col min="4" max="4" width="10.77734375" customWidth="1"/>
  </cols>
  <sheetData>
    <row r="1" spans="1:6" ht="15.6" x14ac:dyDescent="0.3">
      <c r="A1" s="12">
        <v>45698</v>
      </c>
      <c r="B1" s="26" t="s">
        <v>51</v>
      </c>
      <c r="C1" s="26" t="s">
        <v>81</v>
      </c>
      <c r="D1" s="24"/>
      <c r="E1" s="24">
        <v>52000</v>
      </c>
      <c r="F1" s="24"/>
    </row>
    <row r="2" spans="1:6" ht="15.6" x14ac:dyDescent="0.3">
      <c r="A2" s="12">
        <v>45698</v>
      </c>
      <c r="B2" s="26" t="s">
        <v>82</v>
      </c>
      <c r="C2" s="26" t="s">
        <v>81</v>
      </c>
      <c r="D2" s="24"/>
      <c r="E2" s="24">
        <v>10000</v>
      </c>
      <c r="F2" s="24"/>
    </row>
    <row r="3" spans="1:6" ht="15.6" x14ac:dyDescent="0.3">
      <c r="A3" s="12">
        <v>45818</v>
      </c>
      <c r="B3" s="26" t="s">
        <v>85</v>
      </c>
      <c r="C3" s="26"/>
      <c r="D3" s="24"/>
      <c r="E3" s="24">
        <v>14000</v>
      </c>
      <c r="F3" s="24"/>
    </row>
    <row r="4" spans="1:6" ht="28.8" x14ac:dyDescent="0.3">
      <c r="A4" s="12">
        <v>45818</v>
      </c>
      <c r="B4" s="26" t="s">
        <v>87</v>
      </c>
      <c r="C4" s="26"/>
      <c r="D4" s="24"/>
      <c r="E4" s="24">
        <v>5000</v>
      </c>
      <c r="F4" s="24"/>
    </row>
    <row r="5" spans="1:6" ht="15.6" x14ac:dyDescent="0.3">
      <c r="A5" s="12" t="s">
        <v>78</v>
      </c>
      <c r="B5" s="26" t="s">
        <v>51</v>
      </c>
      <c r="C5" s="26"/>
      <c r="D5" s="24"/>
      <c r="E5" s="24">
        <v>64500</v>
      </c>
      <c r="F5" s="24"/>
    </row>
    <row r="6" spans="1:6" ht="15.6" x14ac:dyDescent="0.3">
      <c r="A6" s="12" t="s">
        <v>78</v>
      </c>
      <c r="B6" s="26" t="s">
        <v>51</v>
      </c>
      <c r="C6" s="26" t="s">
        <v>94</v>
      </c>
      <c r="D6" s="24">
        <v>624</v>
      </c>
      <c r="E6" s="24">
        <v>480000</v>
      </c>
      <c r="F6" s="24"/>
    </row>
    <row r="7" spans="1:6" ht="15.6" x14ac:dyDescent="0.3">
      <c r="A7" s="12" t="s">
        <v>78</v>
      </c>
      <c r="B7" s="26" t="s">
        <v>51</v>
      </c>
      <c r="C7" s="26" t="s">
        <v>95</v>
      </c>
      <c r="D7" s="24"/>
      <c r="E7" s="24">
        <v>162800</v>
      </c>
      <c r="F7" s="24"/>
    </row>
    <row r="8" spans="1:6" ht="15.6" x14ac:dyDescent="0.3">
      <c r="A8" s="12"/>
      <c r="B8" s="26"/>
      <c r="C8" s="26"/>
      <c r="D8" s="24"/>
      <c r="E8" s="24"/>
      <c r="F8" s="24"/>
    </row>
    <row r="9" spans="1:6" ht="15.6" x14ac:dyDescent="0.3">
      <c r="A9" s="12"/>
      <c r="B9" s="26"/>
      <c r="C9" s="26"/>
      <c r="D9" s="24"/>
      <c r="E9" s="24"/>
      <c r="F9" s="24"/>
    </row>
    <row r="10" spans="1:6" ht="15.6" x14ac:dyDescent="0.3">
      <c r="A10" s="12"/>
      <c r="B10" s="26"/>
      <c r="C10" s="26"/>
      <c r="D10" s="24"/>
      <c r="E10" s="24"/>
      <c r="F10" s="24"/>
    </row>
    <row r="11" spans="1:6" ht="15.6" x14ac:dyDescent="0.3">
      <c r="A11" s="12"/>
      <c r="B11" s="26"/>
      <c r="C11" s="26"/>
      <c r="D11" s="24"/>
      <c r="E11" s="24"/>
      <c r="F11" s="24"/>
    </row>
    <row r="12" spans="1:6" ht="15.6" x14ac:dyDescent="0.3">
      <c r="A12" s="12"/>
      <c r="B12" s="26"/>
      <c r="C12" s="26"/>
      <c r="D12" s="24"/>
      <c r="E12" s="24"/>
      <c r="F12" s="24"/>
    </row>
    <row r="13" spans="1:6" ht="15.6" x14ac:dyDescent="0.3">
      <c r="A13" s="12"/>
      <c r="B13" s="26"/>
      <c r="C13" s="26"/>
      <c r="D13" s="24"/>
      <c r="E13" s="24"/>
      <c r="F13" s="24"/>
    </row>
    <row r="14" spans="1:6" ht="15.6" x14ac:dyDescent="0.3">
      <c r="A14" s="12"/>
      <c r="B14" s="26"/>
      <c r="C14" s="26"/>
      <c r="D14" s="24"/>
      <c r="E14" s="24"/>
      <c r="F14" s="24"/>
    </row>
    <row r="15" spans="1:6" ht="15.6" x14ac:dyDescent="0.3">
      <c r="A15" s="12"/>
      <c r="B15" s="26"/>
      <c r="C15" s="26"/>
      <c r="D15" s="24"/>
      <c r="E15" s="24"/>
      <c r="F15" s="24"/>
    </row>
    <row r="16" spans="1:6" ht="15.6" x14ac:dyDescent="0.3">
      <c r="A16" s="12"/>
      <c r="B16" s="26"/>
      <c r="C16" s="26"/>
      <c r="D16" s="24"/>
      <c r="E16" s="24"/>
      <c r="F16" s="24"/>
    </row>
    <row r="17" spans="1:6" ht="15.6" x14ac:dyDescent="0.3">
      <c r="A17" s="12"/>
      <c r="B17" s="26"/>
      <c r="C17" s="26"/>
      <c r="D17" s="24"/>
      <c r="E17" s="24"/>
      <c r="F17" s="24"/>
    </row>
    <row r="18" spans="1:6" ht="15.6" x14ac:dyDescent="0.3">
      <c r="A18" s="12"/>
      <c r="B18" s="26"/>
      <c r="C18" s="26"/>
      <c r="D18" s="24"/>
      <c r="E18" s="24">
        <f>SUM(E1:E17)</f>
        <v>788300</v>
      </c>
      <c r="F18" s="24"/>
    </row>
    <row r="19" spans="1:6" x14ac:dyDescent="0.3">
      <c r="A19" s="20"/>
      <c r="B19" s="3"/>
    </row>
    <row r="20" spans="1:6" x14ac:dyDescent="0.3">
      <c r="A20" s="20"/>
      <c r="B20" s="3"/>
    </row>
    <row r="21" spans="1:6" ht="15.6" x14ac:dyDescent="0.3">
      <c r="A21" s="12">
        <v>45698</v>
      </c>
      <c r="B21" s="26" t="s">
        <v>53</v>
      </c>
      <c r="C21" s="26"/>
      <c r="D21" s="24"/>
      <c r="E21" s="24">
        <v>3000</v>
      </c>
      <c r="F21" s="24"/>
    </row>
    <row r="22" spans="1:6" ht="15.6" x14ac:dyDescent="0.3">
      <c r="A22" s="12" t="s">
        <v>78</v>
      </c>
      <c r="B22" s="26" t="s">
        <v>93</v>
      </c>
      <c r="C22" s="26"/>
      <c r="D22" s="24"/>
      <c r="E22" s="24">
        <v>2000</v>
      </c>
      <c r="F22" s="24"/>
    </row>
    <row r="23" spans="1:6" ht="15.6" x14ac:dyDescent="0.3">
      <c r="A23" s="12" t="s">
        <v>78</v>
      </c>
      <c r="B23" s="26" t="s">
        <v>53</v>
      </c>
      <c r="C23" s="26"/>
      <c r="D23" s="24"/>
      <c r="E23" s="24"/>
      <c r="F23" s="24"/>
    </row>
    <row r="24" spans="1:6" x14ac:dyDescent="0.3">
      <c r="E24">
        <f>SUM(E21:E23)</f>
        <v>5000</v>
      </c>
    </row>
    <row r="26" spans="1:6" x14ac:dyDescent="0.3">
      <c r="E26">
        <f>E19+E24</f>
        <v>5000</v>
      </c>
    </row>
    <row r="29" spans="1:6" x14ac:dyDescent="0.3">
      <c r="C29" t="s">
        <v>49</v>
      </c>
      <c r="D29">
        <f>E19</f>
        <v>0</v>
      </c>
    </row>
    <row r="30" spans="1:6" x14ac:dyDescent="0.3">
      <c r="C30" t="s">
        <v>50</v>
      </c>
      <c r="D30">
        <f>E24</f>
        <v>5000</v>
      </c>
    </row>
    <row r="32" spans="1:6" x14ac:dyDescent="0.3">
      <c r="D32">
        <f>D29+D30+D31</f>
        <v>5000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P27"/>
  <sheetViews>
    <sheetView workbookViewId="0">
      <selection activeCell="A22" sqref="A22"/>
    </sheetView>
  </sheetViews>
  <sheetFormatPr defaultRowHeight="14.4" x14ac:dyDescent="0.3"/>
  <cols>
    <col min="1" max="1" width="19" style="17" customWidth="1"/>
    <col min="2" max="2" width="24.44140625" customWidth="1"/>
    <col min="3" max="3" width="10.21875" bestFit="1" customWidth="1"/>
    <col min="7" max="7" width="11.77734375" bestFit="1" customWidth="1"/>
    <col min="8" max="8" width="13.21875" bestFit="1" customWidth="1"/>
    <col min="9" max="9" width="10.21875" bestFit="1" customWidth="1"/>
    <col min="11" max="11" width="11.77734375" bestFit="1" customWidth="1"/>
  </cols>
  <sheetData>
    <row r="2" spans="1:16" ht="15.6" x14ac:dyDescent="0.3">
      <c r="A2" s="1" t="s">
        <v>30</v>
      </c>
      <c r="B2" s="1"/>
      <c r="C2" s="1"/>
      <c r="D2" s="1"/>
      <c r="E2" s="1"/>
      <c r="F2" s="1"/>
      <c r="G2" s="1"/>
    </row>
    <row r="3" spans="1:16" ht="15.6" x14ac:dyDescent="0.3">
      <c r="A3" s="1"/>
      <c r="B3" s="1" t="s">
        <v>31</v>
      </c>
      <c r="C3" s="1"/>
      <c r="D3" s="1"/>
      <c r="E3" s="1"/>
      <c r="F3" s="1">
        <f>REVENUE!H53</f>
        <v>1237900</v>
      </c>
      <c r="G3" s="1"/>
    </row>
    <row r="4" spans="1:16" ht="15.6" x14ac:dyDescent="0.3">
      <c r="A4" s="1"/>
      <c r="B4" s="1" t="s">
        <v>18</v>
      </c>
      <c r="C4" s="1"/>
      <c r="D4" s="1"/>
      <c r="E4" s="1"/>
      <c r="F4" s="1">
        <f>REVENUE!H54</f>
        <v>1072465</v>
      </c>
      <c r="G4" s="1"/>
    </row>
    <row r="5" spans="1:16" ht="15.6" x14ac:dyDescent="0.3">
      <c r="A5" s="1"/>
      <c r="B5" s="1" t="s">
        <v>9</v>
      </c>
      <c r="C5" s="1"/>
      <c r="D5" s="1"/>
      <c r="E5" s="1"/>
      <c r="F5" s="1">
        <f>F3+F4</f>
        <v>2310365</v>
      </c>
      <c r="G5" s="1"/>
    </row>
    <row r="6" spans="1:16" ht="16.2" thickBot="1" x14ac:dyDescent="0.35">
      <c r="A6" s="1"/>
      <c r="B6" s="1" t="s">
        <v>32</v>
      </c>
      <c r="C6" s="1"/>
      <c r="D6" s="1"/>
      <c r="E6" s="1"/>
      <c r="F6" s="1">
        <f>REVENUE!J56</f>
        <v>0</v>
      </c>
      <c r="G6" s="1"/>
    </row>
    <row r="7" spans="1:16" ht="16.2" thickBot="1" x14ac:dyDescent="0.35">
      <c r="A7" s="1"/>
      <c r="B7" s="1" t="s">
        <v>33</v>
      </c>
      <c r="C7" s="1"/>
      <c r="D7" s="1"/>
      <c r="E7" s="1"/>
      <c r="F7" s="15">
        <f>F5+F6</f>
        <v>2310365</v>
      </c>
      <c r="G7" s="1"/>
    </row>
    <row r="8" spans="1:16" ht="15.6" x14ac:dyDescent="0.3">
      <c r="A8" s="1"/>
      <c r="B8" s="1"/>
      <c r="C8" s="1"/>
      <c r="D8" s="1"/>
      <c r="E8" s="1"/>
      <c r="F8" s="1"/>
      <c r="G8" s="1"/>
      <c r="K8" s="1"/>
      <c r="L8" s="1"/>
      <c r="M8" s="1"/>
      <c r="N8" s="1"/>
      <c r="O8" s="1"/>
      <c r="P8" s="1"/>
    </row>
    <row r="9" spans="1:16" ht="15.6" x14ac:dyDescent="0.3">
      <c r="K9" s="1"/>
      <c r="L9" s="1"/>
      <c r="M9" s="1"/>
      <c r="N9" s="1"/>
      <c r="O9" s="1"/>
      <c r="P9" s="1"/>
    </row>
    <row r="10" spans="1:16" ht="15.6" x14ac:dyDescent="0.3">
      <c r="A10" s="17" t="s">
        <v>97</v>
      </c>
      <c r="H10" s="28"/>
      <c r="K10" s="1"/>
      <c r="L10" s="1"/>
      <c r="M10" s="1"/>
      <c r="N10" s="1"/>
      <c r="O10" s="1"/>
      <c r="P10" s="1"/>
    </row>
    <row r="11" spans="1:16" ht="15.6" x14ac:dyDescent="0.3">
      <c r="K11" s="1"/>
      <c r="L11" s="1"/>
      <c r="M11" s="1"/>
      <c r="N11" s="1"/>
      <c r="O11" s="1"/>
      <c r="P11" s="1"/>
    </row>
    <row r="12" spans="1:16" ht="15.6" x14ac:dyDescent="0.3">
      <c r="B12" t="s">
        <v>46</v>
      </c>
      <c r="F12">
        <f>REVENUE!H48</f>
        <v>1915635</v>
      </c>
      <c r="K12" s="1"/>
      <c r="L12" s="1"/>
      <c r="M12" s="1"/>
      <c r="N12" s="1"/>
      <c r="O12" s="1"/>
      <c r="P12" s="1"/>
    </row>
    <row r="13" spans="1:16" ht="16.2" thickBot="1" x14ac:dyDescent="0.35">
      <c r="B13" t="s">
        <v>47</v>
      </c>
      <c r="K13" s="1"/>
      <c r="L13" s="1"/>
      <c r="M13" s="1"/>
      <c r="N13" s="1"/>
      <c r="O13" s="1"/>
      <c r="P13" s="1"/>
    </row>
    <row r="14" spans="1:16" ht="15" thickBot="1" x14ac:dyDescent="0.35">
      <c r="B14" t="s">
        <v>9</v>
      </c>
      <c r="F14" s="33">
        <f>F12+F13</f>
        <v>1915635</v>
      </c>
    </row>
    <row r="15" spans="1:16" x14ac:dyDescent="0.3">
      <c r="H15" s="28"/>
    </row>
    <row r="16" spans="1:16" x14ac:dyDescent="0.3">
      <c r="H16" s="28"/>
    </row>
    <row r="17" spans="1:9" x14ac:dyDescent="0.3">
      <c r="A17" s="34" t="s">
        <v>48</v>
      </c>
      <c r="H17" s="4"/>
    </row>
    <row r="18" spans="1:9" x14ac:dyDescent="0.3">
      <c r="A18" s="17" t="s">
        <v>103</v>
      </c>
      <c r="G18" s="4"/>
      <c r="H18" s="4"/>
    </row>
    <row r="19" spans="1:9" x14ac:dyDescent="0.3">
      <c r="A19" s="17" t="s">
        <v>104</v>
      </c>
      <c r="G19" s="4"/>
      <c r="H19" s="4"/>
    </row>
    <row r="20" spans="1:9" x14ac:dyDescent="0.3">
      <c r="A20" s="17" t="s">
        <v>105</v>
      </c>
      <c r="I20" s="4"/>
    </row>
    <row r="21" spans="1:9" x14ac:dyDescent="0.3">
      <c r="A21" s="17" t="s">
        <v>106</v>
      </c>
      <c r="G21" s="4"/>
    </row>
    <row r="27" spans="1:9" x14ac:dyDescent="0.3">
      <c r="C2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I26"/>
  <sheetViews>
    <sheetView workbookViewId="0">
      <selection activeCell="A31" sqref="A31"/>
    </sheetView>
  </sheetViews>
  <sheetFormatPr defaultRowHeight="14.4" x14ac:dyDescent="0.3"/>
  <cols>
    <col min="1" max="1" width="30.21875" customWidth="1"/>
    <col min="2" max="2" width="11.77734375" style="4" customWidth="1"/>
    <col min="3" max="3" width="13.77734375" style="4" customWidth="1"/>
    <col min="5" max="5" width="13.21875" bestFit="1" customWidth="1"/>
    <col min="6" max="6" width="11.77734375" customWidth="1"/>
    <col min="7" max="7" width="23" customWidth="1"/>
    <col min="9" max="9" width="13.21875" bestFit="1" customWidth="1"/>
  </cols>
  <sheetData>
    <row r="2" spans="1:9" ht="18" x14ac:dyDescent="0.35">
      <c r="A2" s="9" t="s">
        <v>59</v>
      </c>
    </row>
    <row r="3" spans="1:9" x14ac:dyDescent="0.3">
      <c r="B3" s="4" t="s">
        <v>14</v>
      </c>
      <c r="C3" s="4" t="s">
        <v>14</v>
      </c>
    </row>
    <row r="4" spans="1:9" x14ac:dyDescent="0.3">
      <c r="A4" t="s">
        <v>25</v>
      </c>
      <c r="C4" s="4">
        <f>REVENUE!E36</f>
        <v>308000</v>
      </c>
    </row>
    <row r="5" spans="1:9" x14ac:dyDescent="0.3">
      <c r="A5" t="s">
        <v>99</v>
      </c>
      <c r="B5" s="4">
        <v>340000</v>
      </c>
      <c r="C5" s="8"/>
    </row>
    <row r="6" spans="1:9" x14ac:dyDescent="0.3">
      <c r="A6" t="s">
        <v>28</v>
      </c>
      <c r="B6" s="4">
        <v>68000</v>
      </c>
    </row>
    <row r="7" spans="1:9" x14ac:dyDescent="0.3">
      <c r="A7" t="s">
        <v>15</v>
      </c>
      <c r="B7" s="4">
        <v>5000</v>
      </c>
      <c r="F7" s="4"/>
    </row>
    <row r="8" spans="1:9" x14ac:dyDescent="0.3">
      <c r="A8" t="s">
        <v>100</v>
      </c>
      <c r="B8" s="4">
        <v>340000</v>
      </c>
      <c r="F8" s="28"/>
      <c r="G8" s="4"/>
    </row>
    <row r="9" spans="1:9" ht="15" thickBot="1" x14ac:dyDescent="0.35">
      <c r="A9" t="s">
        <v>16</v>
      </c>
      <c r="C9" s="4">
        <f>B5+B6+B7-B8</f>
        <v>73000</v>
      </c>
      <c r="E9" s="28"/>
      <c r="F9" s="28"/>
      <c r="G9" s="4"/>
    </row>
    <row r="10" spans="1:9" ht="15" thickBot="1" x14ac:dyDescent="0.35">
      <c r="A10" s="5" t="s">
        <v>17</v>
      </c>
      <c r="B10" s="6"/>
      <c r="C10" s="7">
        <f>C4-C9</f>
        <v>235000</v>
      </c>
      <c r="F10" s="4"/>
      <c r="I10" s="28"/>
    </row>
    <row r="11" spans="1:9" x14ac:dyDescent="0.3">
      <c r="A11" s="2" t="s">
        <v>18</v>
      </c>
      <c r="F11" s="28"/>
    </row>
    <row r="12" spans="1:9" x14ac:dyDescent="0.3">
      <c r="A12" t="s">
        <v>19</v>
      </c>
      <c r="B12" s="4">
        <v>145000</v>
      </c>
      <c r="G12" s="4"/>
      <c r="I12" s="28"/>
    </row>
    <row r="13" spans="1:9" x14ac:dyDescent="0.3">
      <c r="A13" t="s">
        <v>35</v>
      </c>
      <c r="B13" s="4">
        <v>5000</v>
      </c>
      <c r="F13" s="19"/>
      <c r="G13" s="4"/>
      <c r="I13" s="28"/>
    </row>
    <row r="14" spans="1:9" x14ac:dyDescent="0.3">
      <c r="A14" t="s">
        <v>20</v>
      </c>
      <c r="B14" s="4">
        <v>20000</v>
      </c>
      <c r="G14" s="19"/>
    </row>
    <row r="15" spans="1:9" x14ac:dyDescent="0.3">
      <c r="A15" t="s">
        <v>39</v>
      </c>
      <c r="E15" s="4"/>
    </row>
    <row r="16" spans="1:9" ht="15" thickBot="1" x14ac:dyDescent="0.35">
      <c r="A16" t="s">
        <v>21</v>
      </c>
      <c r="C16" s="4">
        <f>B12+B13+B14+B15+B16</f>
        <v>170000</v>
      </c>
    </row>
    <row r="17" spans="1:7" ht="15" thickBot="1" x14ac:dyDescent="0.35">
      <c r="A17" s="5" t="s">
        <v>22</v>
      </c>
      <c r="B17" s="6"/>
      <c r="C17" s="7">
        <f>C10-C16</f>
        <v>65000</v>
      </c>
    </row>
    <row r="18" spans="1:7" x14ac:dyDescent="0.3">
      <c r="G18" s="28"/>
    </row>
    <row r="20" spans="1:7" x14ac:dyDescent="0.3">
      <c r="F20" s="28"/>
      <c r="G20" s="28"/>
    </row>
    <row r="21" spans="1:7" x14ac:dyDescent="0.3">
      <c r="A21" t="s">
        <v>36</v>
      </c>
      <c r="C21" s="4">
        <v>17000</v>
      </c>
      <c r="G21" s="28"/>
    </row>
    <row r="22" spans="1:7" x14ac:dyDescent="0.3">
      <c r="A22" t="s">
        <v>60</v>
      </c>
    </row>
    <row r="23" spans="1:7" x14ac:dyDescent="0.3">
      <c r="A23" t="s">
        <v>55</v>
      </c>
    </row>
    <row r="24" spans="1:7" x14ac:dyDescent="0.3">
      <c r="A24" s="16" t="s">
        <v>45</v>
      </c>
    </row>
    <row r="25" spans="1:7" x14ac:dyDescent="0.3">
      <c r="A25" s="16"/>
      <c r="C25" s="4">
        <f>C21+C22+C23+C24</f>
        <v>17000</v>
      </c>
    </row>
    <row r="26" spans="1:7" x14ac:dyDescent="0.3">
      <c r="A26" t="s">
        <v>40</v>
      </c>
      <c r="C26" s="4">
        <f>C17+C25</f>
        <v>82000</v>
      </c>
      <c r="G26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443F85-CC7C-4B30-9016-95E1BC5D19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OctRev25</vt:lpstr>
      <vt:lpstr>OctExp25</vt:lpstr>
      <vt:lpstr>REVENUE</vt:lpstr>
      <vt:lpstr>ExpenseCat</vt:lpstr>
      <vt:lpstr>GEN.EXPENSES</vt:lpstr>
      <vt:lpstr>FIN. REPORT</vt:lpstr>
      <vt:lpstr>MAINTENANCE-OFFICE SUPPLIES</vt:lpstr>
      <vt:lpstr>MEDICATIONS</vt:lpstr>
      <vt:lpstr>SUMMARY</vt:lpstr>
      <vt:lpstr>LAB.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ACIU NA-EBUBE ENA</dc:creator>
  <cp:lastModifiedBy>DELL</cp:lastModifiedBy>
  <dcterms:created xsi:type="dcterms:W3CDTF">2021-07-05T08:45:26Z</dcterms:created>
  <dcterms:modified xsi:type="dcterms:W3CDTF">2026-09-05T01:06:06Z</dcterms:modified>
</cp:coreProperties>
</file>