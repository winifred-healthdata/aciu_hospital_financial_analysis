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Pictures\DATASET\ACIU ANALYSIS FILE\"/>
    </mc:Choice>
  </mc:AlternateContent>
  <xr:revisionPtr revIDLastSave="0" documentId="13_ncr:1_{D2ABE38E-52CB-4882-8D0A-C94D22AFE16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pril24Rev" sheetId="17" r:id="rId1"/>
    <sheet name="April24Exp" sheetId="21" r:id="rId2"/>
    <sheet name="REVENUE" sheetId="2" r:id="rId3"/>
    <sheet name="ExpenseCat" sheetId="19" r:id="rId4"/>
    <sheet name="EXPENSES" sheetId="3" r:id="rId5"/>
    <sheet name="FIN. REPORT" sheetId="5" r:id="rId6"/>
    <sheet name="MAINTENANCE-OFFICE SUPPLIES" sheetId="7" r:id="rId7"/>
    <sheet name="MEDICATIONS" sheetId="8" r:id="rId8"/>
    <sheet name="SUMMARY" sheetId="11" r:id="rId9"/>
    <sheet name="EZINNE LAB" sheetId="13" r:id="rId10"/>
  </sheets>
  <externalReferences>
    <externalReference r:id="rId11"/>
  </externalReferences>
  <definedNames>
    <definedName name="ExternalData_1" localSheetId="0" hidden="1">April24Rev!$A$1:$D$96</definedName>
    <definedName name="ExternalData_2" localSheetId="1" hidden="1">April24Exp!$A$1:$F$25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2" l="1"/>
  <c r="K53" i="2"/>
  <c r="H15" i="8" l="1"/>
  <c r="E13" i="7"/>
  <c r="E22" i="7"/>
  <c r="F24" i="3"/>
  <c r="D26" i="3"/>
  <c r="C17" i="5" l="1"/>
  <c r="F13" i="11" l="1"/>
  <c r="B12" i="5"/>
  <c r="I47" i="2"/>
  <c r="I45" i="2"/>
  <c r="I42" i="2"/>
  <c r="I54" i="2"/>
  <c r="C26" i="13"/>
  <c r="B7" i="5"/>
  <c r="C9" i="5" s="1"/>
  <c r="C10" i="5" s="1"/>
  <c r="C16" i="5"/>
  <c r="B14" i="5"/>
  <c r="B6" i="5"/>
  <c r="I10" i="5"/>
  <c r="C17" i="13"/>
  <c r="F23" i="7"/>
  <c r="E12" i="8"/>
  <c r="F35" i="2"/>
  <c r="C35" i="2"/>
  <c r="I44" i="2" s="1"/>
  <c r="C25" i="5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4" i="2"/>
  <c r="E18" i="8"/>
  <c r="B13" i="5"/>
  <c r="C4" i="5"/>
  <c r="I53" i="2"/>
  <c r="I56" i="2" s="1"/>
  <c r="C47" i="2"/>
  <c r="C41" i="2"/>
  <c r="K35" i="2"/>
  <c r="I35" i="2"/>
  <c r="E35" i="2"/>
  <c r="D35" i="2"/>
  <c r="N34" i="2"/>
  <c r="M33" i="2"/>
  <c r="H33" i="2"/>
  <c r="F33" i="2"/>
  <c r="C33" i="2"/>
  <c r="H32" i="2"/>
  <c r="F32" i="2"/>
  <c r="C32" i="2"/>
  <c r="H31" i="2"/>
  <c r="C31" i="2"/>
  <c r="H30" i="2"/>
  <c r="C30" i="2"/>
  <c r="J29" i="2"/>
  <c r="J35" i="2" s="1"/>
  <c r="H29" i="2"/>
  <c r="G29" i="2"/>
  <c r="C29" i="2"/>
  <c r="M28" i="2"/>
  <c r="H28" i="2"/>
  <c r="F28" i="2"/>
  <c r="C28" i="2"/>
  <c r="H27" i="2"/>
  <c r="F27" i="2"/>
  <c r="C27" i="2"/>
  <c r="H26" i="2"/>
  <c r="G26" i="2"/>
  <c r="F26" i="2"/>
  <c r="C26" i="2"/>
  <c r="H25" i="2"/>
  <c r="C25" i="2"/>
  <c r="C24" i="2"/>
  <c r="N24" i="2" s="1"/>
  <c r="H23" i="2"/>
  <c r="G23" i="2"/>
  <c r="C23" i="2"/>
  <c r="H22" i="2"/>
  <c r="C22" i="2"/>
  <c r="H21" i="2"/>
  <c r="C21" i="2"/>
  <c r="M20" i="2"/>
  <c r="H20" i="2"/>
  <c r="H19" i="2"/>
  <c r="C19" i="2"/>
  <c r="H18" i="2"/>
  <c r="C18" i="2"/>
  <c r="H17" i="2"/>
  <c r="C17" i="2"/>
  <c r="H16" i="2"/>
  <c r="C16" i="2"/>
  <c r="M15" i="2"/>
  <c r="H15" i="2"/>
  <c r="C15" i="2"/>
  <c r="H14" i="2"/>
  <c r="F14" i="2"/>
  <c r="C14" i="2"/>
  <c r="M13" i="2"/>
  <c r="H13" i="2"/>
  <c r="G13" i="2"/>
  <c r="F13" i="2"/>
  <c r="C13" i="2"/>
  <c r="H12" i="2"/>
  <c r="G12" i="2"/>
  <c r="F12" i="2"/>
  <c r="C12" i="2"/>
  <c r="H11" i="2"/>
  <c r="F11" i="2"/>
  <c r="C11" i="2"/>
  <c r="H10" i="2"/>
  <c r="G10" i="2"/>
  <c r="F10" i="2"/>
  <c r="C10" i="2"/>
  <c r="L9" i="2"/>
  <c r="L35" i="2" s="1"/>
  <c r="H9" i="2"/>
  <c r="F9" i="2"/>
  <c r="C9" i="2"/>
  <c r="H8" i="2"/>
  <c r="F8" i="2"/>
  <c r="C8" i="2"/>
  <c r="H7" i="2"/>
  <c r="F7" i="2"/>
  <c r="C7" i="2"/>
  <c r="H6" i="2"/>
  <c r="G6" i="2"/>
  <c r="F6" i="2"/>
  <c r="C6" i="2"/>
  <c r="H5" i="2"/>
  <c r="F5" i="2"/>
  <c r="C5" i="2"/>
  <c r="H4" i="2"/>
  <c r="C4" i="2"/>
  <c r="H25" i="13"/>
  <c r="N5" i="2" l="1"/>
  <c r="N17" i="2"/>
  <c r="N21" i="2"/>
  <c r="N25" i="2"/>
  <c r="M35" i="2"/>
  <c r="N18" i="2"/>
  <c r="N22" i="2"/>
  <c r="N31" i="2"/>
  <c r="N6" i="2"/>
  <c r="N8" i="2"/>
  <c r="N7" i="2"/>
  <c r="N26" i="2"/>
  <c r="N27" i="2"/>
  <c r="N13" i="2"/>
  <c r="C26" i="5"/>
  <c r="G35" i="2"/>
  <c r="N9" i="2"/>
  <c r="N15" i="2"/>
  <c r="N19" i="2"/>
  <c r="N23" i="2"/>
  <c r="N4" i="2"/>
  <c r="N11" i="2"/>
  <c r="N29" i="2"/>
  <c r="N32" i="2"/>
  <c r="H35" i="2"/>
  <c r="N16" i="2"/>
  <c r="N20" i="2"/>
  <c r="N12" i="2"/>
  <c r="N33" i="2"/>
  <c r="N10" i="2"/>
  <c r="N14" i="2"/>
  <c r="N28" i="2"/>
  <c r="N30" i="2"/>
  <c r="C25" i="13"/>
  <c r="H15" i="13"/>
  <c r="H18" i="13" s="1"/>
  <c r="C16" i="13"/>
  <c r="I12" i="13"/>
  <c r="H8" i="13"/>
  <c r="C9" i="13"/>
  <c r="F6" i="11"/>
  <c r="F4" i="11"/>
  <c r="F3" i="11"/>
  <c r="K56" i="2" l="1"/>
  <c r="C4" i="13"/>
  <c r="N35" i="2"/>
  <c r="E47" i="2" s="1"/>
  <c r="F5" i="11"/>
  <c r="F7" i="11" s="1"/>
  <c r="C10" i="13" l="1"/>
  <c r="E39" i="2"/>
  <c r="F12" i="11"/>
  <c r="F14" i="11" s="1"/>
  <c r="E38" i="2"/>
  <c r="E41" i="2"/>
  <c r="E43" i="2"/>
  <c r="E42" i="2"/>
  <c r="E45" i="2"/>
  <c r="E40" i="2"/>
  <c r="E46" i="2"/>
  <c r="E44" i="2"/>
  <c r="E48" i="2"/>
  <c r="E49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0E8F91-A4C8-4D2F-8D88-3AF15A379A4E}" keepAlive="1" name="Query - April24Exp" description="Connection to the 'April24Exp' query in the workbook." type="5" refreshedVersion="8" background="1" saveData="1">
    <dbPr connection="Provider=Microsoft.Mashup.OleDb.1;Data Source=$Workbook$;Location=April24Exp;Extended Properties=&quot;&quot;" command="SELECT * FROM [April24Exp]"/>
  </connection>
  <connection id="2" xr16:uid="{AF754989-0E9B-44DD-8FF3-F7B1FD122830}" keepAlive="1" name="Query - April24Rev" description="Connection to the 'April24Rev' query in the workbook." type="5" refreshedVersion="8" background="1" saveData="1">
    <dbPr connection="Provider=Microsoft.Mashup.OleDb.1;Data Source=$Workbook$;Location=April24Rev;Extended Properties=&quot;&quot;" command="SELECT * FROM [April24Rev]"/>
  </connection>
  <connection id="3" xr16:uid="{3B44DFBE-3F72-4230-9606-5C1DF974A2C5}" keepAlive="1" name="Query - ExpenseCat" description="Connection to the 'ExpenseCat' query in the workbook." type="5" refreshedVersion="8" background="1" saveData="1">
    <dbPr connection="Provider=Microsoft.Mashup.OleDb.1;Data Source=$Workbook$;Location=ExpenseCat;Extended Properties=&quot;&quot;" command="SELECT * FROM [ExpenseCat]"/>
  </connection>
</connections>
</file>

<file path=xl/sharedStrings.xml><?xml version="1.0" encoding="utf-8"?>
<sst xmlns="http://schemas.openxmlformats.org/spreadsheetml/2006/main" count="604" uniqueCount="166">
  <si>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</si>
  <si>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</si>
  <si>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</si>
  <si>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</si>
  <si>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</si>
  <si>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</si>
  <si>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</si>
  <si>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</si>
  <si>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</si>
  <si>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</si>
  <si>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</si>
  <si>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</si>
  <si>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</si>
  <si>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</si>
  <si>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</si>
  <si>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</si>
  <si>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</si>
  <si>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</si>
  <si>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</si>
  <si>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</si>
  <si>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</si>
  <si>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</si>
  <si>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</si>
  <si>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</si>
  <si>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</si>
  <si>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</si>
  <si>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</si>
  <si>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</si>
  <si>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</si>
  <si>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</si>
  <si>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</si>
  <si>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</si>
  <si>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</si>
  <si>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</si>
  <si>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</si>
  <si>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</si>
  <si>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</si>
  <si>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>DEMENTIA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</si>
  <si>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</si>
  <si>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</si>
  <si>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</si>
  <si>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</si>
  <si>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</si>
  <si>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</si>
  <si>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</si>
  <si>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PSYCHIATRICS</t>
  </si>
  <si>
    <t>BLOOMS SCHOLARS</t>
  </si>
  <si>
    <t>STORE PURCHASE: MEDICINE</t>
  </si>
  <si>
    <t>DE BLESSED MEKUS</t>
  </si>
  <si>
    <t>BLOOMS</t>
  </si>
  <si>
    <t>TOTAL AMOUNT</t>
  </si>
  <si>
    <t>BAL. B/F</t>
  </si>
  <si>
    <t>OTHER POINTS TO NOTE</t>
  </si>
  <si>
    <t>AMOUNT IN SEPTEMBER</t>
  </si>
  <si>
    <t>AMOUNT IN OCTOBER</t>
  </si>
  <si>
    <t>OPENING STOCK OF SEPT</t>
  </si>
  <si>
    <t>TOTAL INVESTMENT</t>
  </si>
  <si>
    <t>REVENUE FOR SEPT</t>
  </si>
  <si>
    <t>REVENUE FOR OCT</t>
  </si>
  <si>
    <t>TOTAL REVENUE</t>
  </si>
  <si>
    <t>SALARY FOR SEPT/OCT</t>
  </si>
  <si>
    <t>TOTAL INVESTMENT&amp; SALARY</t>
  </si>
  <si>
    <t>LESS TOTAL REVENUE</t>
  </si>
  <si>
    <t>EKWUEME</t>
  </si>
  <si>
    <t>ELBE PHARMA NIG LTD</t>
  </si>
  <si>
    <t xml:space="preserve"> Stock @ 1/3/2024</t>
  </si>
  <si>
    <t>Less STOCK AS AT 31/3/2024</t>
  </si>
  <si>
    <t>13/4/2024</t>
  </si>
  <si>
    <t>14/4/2024</t>
  </si>
  <si>
    <t>15/5/2024</t>
  </si>
  <si>
    <t>16/5/2024</t>
  </si>
  <si>
    <t>17/5/2024</t>
  </si>
  <si>
    <t>18/5/2024</t>
  </si>
  <si>
    <t>19/5/2024</t>
  </si>
  <si>
    <t>20/5/2024</t>
  </si>
  <si>
    <t>21/5/2024</t>
  </si>
  <si>
    <t>22/5/2024</t>
  </si>
  <si>
    <t>23/4/2024</t>
  </si>
  <si>
    <t>24/4/2024</t>
  </si>
  <si>
    <t>25/4/2024</t>
  </si>
  <si>
    <t>26/4/2024</t>
  </si>
  <si>
    <t>27/4/2024</t>
  </si>
  <si>
    <t>28/4/2024</t>
  </si>
  <si>
    <t>29/4/2024</t>
  </si>
  <si>
    <t>30/4/2024</t>
  </si>
  <si>
    <t>FUEL</t>
  </si>
  <si>
    <t>ENGINE OIL</t>
  </si>
  <si>
    <t>STORE PURCHASE:MEDICINE</t>
  </si>
  <si>
    <t>WEED CONTROL</t>
  </si>
  <si>
    <t>RICHARD MED</t>
  </si>
  <si>
    <t>16/4/2024</t>
  </si>
  <si>
    <t>OFFICE SUPPLY:6 MOP STICK @ N1000, 1CTN OF OMO @ N7000, 1CTN OF HYPO @ N7,700</t>
  </si>
  <si>
    <t>STORE PURCHASE: SYRINGS &amp;NEEDLE</t>
  </si>
  <si>
    <t>TRANSPORT FOR PURCHASE</t>
  </si>
  <si>
    <t>2 PCS OF 25 LTRS @ N4000</t>
  </si>
  <si>
    <t>18/4/2024</t>
  </si>
  <si>
    <t>TRANSPORT FOR DISTILLED WATER</t>
  </si>
  <si>
    <t>SUCCESSLINK SURGICAL</t>
  </si>
  <si>
    <t>OFFICE SUPPLY: TOUCH 7000,PEN 700,TICKNOTE @ N3000.</t>
  </si>
  <si>
    <t>REPAIR OF LOCKS</t>
  </si>
  <si>
    <t>DEPOSIT FOR PRODUCTION OF FOLDERS</t>
  </si>
  <si>
    <t>STATEMENT OF FINANCIAL PERFORMANCE FOR THE MONTH ENDED 30/04/2024</t>
  </si>
  <si>
    <t xml:space="preserve"> Stock @ 1/04/2024</t>
  </si>
  <si>
    <t>Less STOCK AS AT 30/04/2024</t>
  </si>
  <si>
    <t>TOTAL CASH FOR THE MONTH OF APRIL, 2024</t>
  </si>
  <si>
    <t xml:space="preserve">WE STILL HAVE STOCK (MEDICATION) VALUED N2,975,185 AT COST PRICE. </t>
  </si>
  <si>
    <t>CASH RECEIVED  IS N1,236,150</t>
  </si>
  <si>
    <t>CASH TRANSFERS N864,450</t>
  </si>
  <si>
    <t>WE OWE A DEBT OF N73,500</t>
  </si>
  <si>
    <t>CASH EARNED THROUGH INDEGENT,DELIVERY SUBSIDY, DEMENTIA AND BLOOM SCHOLARS N160,600</t>
  </si>
  <si>
    <t>MAR. BALANCE</t>
  </si>
  <si>
    <t>LESS APRIL. PROFIT</t>
  </si>
  <si>
    <t>CORRECTED DATE</t>
  </si>
  <si>
    <t>Revenue Category</t>
  </si>
  <si>
    <t>Amount</t>
  </si>
  <si>
    <t>Source Month</t>
  </si>
  <si>
    <t>Apr-2024</t>
  </si>
  <si>
    <t>SUPPLIER</t>
  </si>
  <si>
    <t>Expense Category</t>
  </si>
  <si>
    <t>Fuel</t>
  </si>
  <si>
    <t>Maintenance</t>
  </si>
  <si>
    <t>Medication</t>
  </si>
  <si>
    <t>Office Supplies</t>
  </si>
  <si>
    <t>Medical Supplies</t>
  </si>
  <si>
    <t>Transportation</t>
  </si>
  <si>
    <t>Printing/Stationery</t>
  </si>
  <si>
    <t>Keyword</t>
  </si>
  <si>
    <t>MEDICINE</t>
  </si>
  <si>
    <t>SYRINGE</t>
  </si>
  <si>
    <t>GLOVE</t>
  </si>
  <si>
    <t>NORMAL SALINE</t>
  </si>
  <si>
    <t>SURGICAL EXPENSES</t>
  </si>
  <si>
    <t>OFFICE SUPPLY</t>
  </si>
  <si>
    <t>LABOUR</t>
  </si>
  <si>
    <t>CEMENT</t>
  </si>
  <si>
    <t>REPAIR</t>
  </si>
  <si>
    <t>CIRCUMCISION</t>
  </si>
  <si>
    <t>WAYBILL</t>
  </si>
  <si>
    <t>CARRIAGE</t>
  </si>
  <si>
    <t>FOLDER</t>
  </si>
  <si>
    <t>PLUMBING</t>
  </si>
  <si>
    <t>REFUND</t>
  </si>
  <si>
    <t>STRIP</t>
  </si>
  <si>
    <t>POVIDON</t>
  </si>
  <si>
    <t>PLASTER</t>
  </si>
  <si>
    <t>CHARGES</t>
  </si>
  <si>
    <t>PAPER</t>
  </si>
  <si>
    <t>PAINTING</t>
  </si>
  <si>
    <t>BASIN &amp; BASKET</t>
  </si>
  <si>
    <t>LANCET</t>
  </si>
  <si>
    <t>WEEDING</t>
  </si>
  <si>
    <t>POLICE</t>
  </si>
  <si>
    <t>JAMES</t>
  </si>
  <si>
    <t>SOLAR</t>
  </si>
  <si>
    <t>BATTERY</t>
  </si>
  <si>
    <t>FEEDING FOR PATIENT</t>
  </si>
  <si>
    <t>OXYGEN</t>
  </si>
  <si>
    <t>INFUSION</t>
  </si>
  <si>
    <t>SNACKS FOR PATIENT</t>
  </si>
  <si>
    <t>MOP</t>
  </si>
  <si>
    <t>WASHING</t>
  </si>
  <si>
    <t>SALARY</t>
  </si>
  <si>
    <t>Salary</t>
  </si>
  <si>
    <t>40 LEAVES</t>
  </si>
  <si>
    <t>STORE PURCHASE: SYRINGES &amp;NEEDLE</t>
  </si>
  <si>
    <t>SYRINGES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</si>
</sst>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3" fillId="0" borderId="3" xfId="0" applyNumberFormat="1" applyFont="1" applyBorder="1"/>
    <xf numFmtId="4" fontId="3" fillId="0" borderId="0" xfId="0" applyNumberFormat="1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2" fillId="0" borderId="4" xfId="0" applyFont="1" applyBorder="1"/>
    <xf numFmtId="0" fontId="5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0" fontId="1" fillId="0" borderId="5" xfId="0" applyFont="1" applyBorder="1" applyAlignment="1">
      <alignment horizontal="right"/>
    </xf>
    <xf numFmtId="164" fontId="0" fillId="0" borderId="0" xfId="0" applyNumberFormat="1"/>
    <xf numFmtId="0" fontId="1" fillId="3" borderId="0" xfId="0" applyFont="1" applyFill="1"/>
    <xf numFmtId="0" fontId="0" fillId="3" borderId="0" xfId="0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6" xfId="0" applyFill="1" applyBorder="1"/>
    <xf numFmtId="0" fontId="3" fillId="0" borderId="4" xfId="0" applyFont="1" applyBorder="1"/>
    <xf numFmtId="0" fontId="3" fillId="0" borderId="0" xfId="0" applyFont="1" applyAlignment="1">
      <alignment horizontal="left"/>
    </xf>
    <xf numFmtId="14" fontId="0" fillId="0" borderId="0" xfId="0" applyNumberFormat="1"/>
    <xf numFmtId="0" fontId="0" fillId="0" borderId="8" xfId="0" applyBorder="1" applyAlignment="1">
      <alignment wrapText="1"/>
    </xf>
    <xf numFmtId="0" fontId="0" fillId="0" borderId="9" xfId="0" applyBorder="1"/>
    <xf numFmtId="0" fontId="0" fillId="4" borderId="10" xfId="0" applyFill="1" applyBorder="1" applyAlignment="1">
      <alignment vertical="center" wrapText="1"/>
    </xf>
    <xf numFmtId="0" fontId="0" fillId="4" borderId="11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0" fillId="3" borderId="7" xfId="0" applyFill="1" applyBorder="1" applyAlignment="1">
      <alignment wrapText="1"/>
    </xf>
    <xf numFmtId="3" fontId="0" fillId="0" borderId="0" xfId="0" applyNumberFormat="1"/>
  </cellXfs>
  <cellStyles count="1">
    <cellStyle name="Normal" xfId="0" builtinId="0"/>
  </cellStyles>
  <dxfs count="31"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esktop/ACIU/ACIU-NA%20MEDICAL%20COMPLEX%20MONTHLY%20REPORT%20FOR%20APRIL%202024%20%20TEMP%20-%20Copy.xlsx" TargetMode="External"/><Relationship Id="rId1" Type="http://schemas.openxmlformats.org/officeDocument/2006/relationships/externalLinkPath" Target="/Users/DELL/Desktop/ACIU/ACIU-NA%20MEDICAL%20COMPLEX%20MONTHLY%20REPORT%20FOR%20APRIL%202024%20%20TEMP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OCK"/>
      <sheetName val="REVENUE"/>
      <sheetName val="IMPREST"/>
      <sheetName val="EXPENSE GROUPING"/>
      <sheetName val="FIN. REPORT"/>
      <sheetName val="Sheet3"/>
      <sheetName val="MAINTENANCE-OFFICE SUPPLIES"/>
      <sheetName val="MEDICATIONS"/>
      <sheetName val="Sheet1"/>
      <sheetName val="CLOSING STOCK"/>
      <sheetName val="Sheet2"/>
    </sheetNames>
    <sheetDataSet>
      <sheetData sheetId="0" refreshError="1"/>
      <sheetData sheetId="1" refreshError="1">
        <row r="35">
          <cell r="M35">
            <v>2100600</v>
          </cell>
        </row>
      </sheetData>
      <sheetData sheetId="2" refreshError="1">
        <row r="38">
          <cell r="E38">
            <v>1329650</v>
          </cell>
        </row>
      </sheetData>
      <sheetData sheetId="3" refreshError="1"/>
      <sheetData sheetId="4" refreshError="1"/>
      <sheetData sheetId="5" refreshError="1"/>
      <sheetData sheetId="6" refreshError="1">
        <row r="13">
          <cell r="E13">
            <v>116900</v>
          </cell>
        </row>
        <row r="22">
          <cell r="E22">
            <v>90500</v>
          </cell>
        </row>
      </sheetData>
      <sheetData sheetId="7" refreshError="1">
        <row r="12">
          <cell r="E12">
            <v>1102550</v>
          </cell>
        </row>
        <row r="18">
          <cell r="E18">
            <v>19700</v>
          </cell>
        </row>
      </sheetData>
      <sheetData sheetId="8" refreshError="1"/>
      <sheetData sheetId="9" refreshError="1"/>
      <sheetData sheetId="1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01EB27C-1FE2-4FF4-B8E1-A32973BAC714}" autoFormatId="16" applyNumberFormats="0" applyBorderFormats="0" applyFontFormats="0" applyPatternFormats="0" applyAlignmentFormats="0" applyWidthHeightFormats="0">
  <queryTableRefresh nextId="7">
    <queryTableFields count="4">
      <queryTableField id="4" name="Date" tableColumnId="4"/>
      <queryTableField id="2" name="Revenue Category" tableColumnId="2"/>
      <queryTableField id="3" name="Amount" tableColumnId="3"/>
      <queryTableField id="6" name="Source Month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8C560933-8E94-48FE-8A89-04DE7037235B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ARTICULARS" tableColumnId="2"/>
      <queryTableField id="3" name="Expense Category" tableColumnId="3"/>
      <queryTableField id="4" name="SUPPLIER" tableColumnId="4"/>
      <queryTableField id="5" name="AMOUNT" tableColumnId="5"/>
      <queryTableField id="6" name="Source Mon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6C2CD8-3BFB-48A0-85EB-DC0544FF3428}" name="April24Rev_1" displayName="April24Rev_1" ref="A1:D96" tableType="queryTable" totalsRowShown="0">
  <autoFilter ref="A1:D96" xr:uid="{196C2CD8-3BFB-48A0-85EB-DC0544FF3428}"/>
  <tableColumns count="4">
    <tableColumn id="4" xr3:uid="{978E69D7-FCBF-451F-9FEA-8C4F542BA070}" uniqueName="4" name="DATE" queryTableFieldId="4" dataDxfId="26"/>
    <tableColumn id="2" xr3:uid="{1AA4C02B-5FB6-4968-9A6A-38CF3CDFC9F4}" uniqueName="2" name="Revenue Category" queryTableFieldId="2" dataDxfId="25"/>
    <tableColumn id="3" xr3:uid="{FC2E84B9-B126-4C42-BFE3-179BDBB418D7}" uniqueName="3" name="Amount" queryTableFieldId="3" dataDxfId="24"/>
    <tableColumn id="5" xr3:uid="{28E9F2A7-3D92-4BC6-B9A5-CE605022C725}" uniqueName="5" name="Source Month" queryTableFieldId="6" dataDxfId="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FB8DC7-2FCB-47BF-B98C-62AB75921DB6}" name="April24Exp" displayName="April24Exp" ref="A1:F25" tableType="queryTable" totalsRowShown="0">
  <autoFilter ref="A1:F25" xr:uid="{86FB8DC7-2FCB-47BF-B98C-62AB75921DB6}"/>
  <tableColumns count="6">
    <tableColumn id="1" xr3:uid="{4573C9B2-D519-4671-B15D-1DF1BE6F56AF}" uniqueName="1" name="DATE" queryTableFieldId="1" dataDxfId="30"/>
    <tableColumn id="2" xr3:uid="{9E764FC6-F3E0-4611-BACF-D9C895B6C8DE}" uniqueName="2" name="PARTICULARS" queryTableFieldId="2" dataDxfId="29"/>
    <tableColumn id="3" xr3:uid="{DB7C32B9-210F-47FF-BBAC-5865F5A837C2}" uniqueName="3" name="Expense Category" queryTableFieldId="3" dataDxfId="28"/>
    <tableColumn id="4" xr3:uid="{D111AC8E-C72E-4255-BB82-44FC709B0882}" uniqueName="4" name="SUPPLIER" queryTableFieldId="4" dataDxfId="27"/>
    <tableColumn id="5" xr3:uid="{8455420B-60E0-4BFF-ADEB-EA023789B8A4}" uniqueName="5" name="AMOUNT" queryTableFieldId="5"/>
    <tableColumn id="6" xr3:uid="{CDFC2A89-F0FA-4F19-B9DD-8253E83698F0}" uniqueName="6" name="Source Month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81DA28-2311-4C9E-AEED-724186C8B2B3}" name="April24Rev" displayName="April24Rev" ref="B3:M33" totalsRowShown="0" headerRowDxfId="22" dataDxfId="21">
  <autoFilter ref="B3:M33" xr:uid="{CB81DA28-2311-4C9E-AEED-724186C8B2B3}"/>
  <tableColumns count="12">
    <tableColumn id="1" xr3:uid="{EB2FFE5C-5393-4E81-A6D7-447331D8D214}" name="CORRECTED DATE" dataDxfId="20">
      <calculatedColumnFormula>DATE(2024,4,ROW()-3)</calculatedColumnFormula>
    </tableColumn>
    <tableColumn id="2" xr3:uid="{156C437E-4EBA-4AD0-98A5-84318AA44984}" name="CARD" dataDxfId="19"/>
    <tableColumn id="3" xr3:uid="{9AE0C208-306C-4307-BA87-C83819523056}" name="SURCHARGE" dataDxfId="18"/>
    <tableColumn id="4" xr3:uid="{E92BF9DE-48E7-4233-8F1D-99A2A18560D1}" name="SURGERY" dataDxfId="17"/>
    <tableColumn id="5" xr3:uid="{43B91591-F2FF-422A-8F6D-431B418A2A88}" name="LAB" dataDxfId="16"/>
    <tableColumn id="6" xr3:uid="{61CF9CF1-1658-4A27-824B-672879BAA4E7}" name="BED" dataDxfId="15"/>
    <tableColumn id="7" xr3:uid="{654FB2BC-D058-437C-BD5E-744AB05C4D37}" name="DRUGS" dataDxfId="14"/>
    <tableColumn id="8" xr3:uid="{F7E157B7-D06B-4490-8648-DA35D49D295D}" name="DELIVERY" dataDxfId="13"/>
    <tableColumn id="9" xr3:uid="{FD671E4E-8CDB-417F-97BF-C1C23EA1991F}" name="MENTAL" dataDxfId="12"/>
    <tableColumn id="10" xr3:uid="{63C6C77C-9380-4E06-9282-3074F1A0BAC7}" name="WATER " dataDxfId="11"/>
    <tableColumn id="11" xr3:uid="{36C93C3A-EBB1-4527-BB90-0DD0833B8229}" name="P. REPORT" dataDxfId="10"/>
    <tableColumn id="12" xr3:uid="{66C9E379-5548-46A0-8B90-C8A7038C41AF}" name="DRESSING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D1FA6-63FD-42D7-A8D9-2AA18C954213}" name="Table5" displayName="Table5" ref="A1:B44" totalsRowShown="0" tableBorderDxfId="8">
  <autoFilter ref="A1:B44" xr:uid="{AD2D1FA6-63FD-42D7-A8D9-2AA18C954213}"/>
  <tableColumns count="2">
    <tableColumn id="1" xr3:uid="{77F08512-01F7-43B3-8E11-F164F20969A9}" name="Keyword" dataDxfId="7"/>
    <tableColumn id="2" xr3:uid="{3344012C-043A-43F2-8801-1AF6F1A57D83}" name="Expense Category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B3804-7447-4071-9D24-7BCB05DF4D33}" name="Table4" displayName="Table4" ref="A1:D26" totalsRowShown="0" headerRowBorderDxfId="5" tableBorderDxfId="4">
  <autoFilter ref="A1:D26" xr:uid="{779B3804-7447-4071-9D24-7BCB05DF4D33}"/>
  <tableColumns count="4">
    <tableColumn id="1" xr3:uid="{297D2104-EE61-442F-8EB8-D65A6399FFAB}" name="DATE" dataDxfId="3"/>
    <tableColumn id="2" xr3:uid="{3D2DE5E2-B5B5-4BF8-8268-36AC82E84974}" name="PARTICULARS" dataDxfId="2"/>
    <tableColumn id="3" xr3:uid="{4B0EBAA1-3C95-4B31-AC15-627E0D10A4F9}" name="SUPPLIER" dataDxfId="1"/>
    <tableColumn id="4" xr3:uid="{31EBC288-558C-454A-B0E9-173E46783348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11F0-2D7A-4CF6-B9DB-3921E6C96C9F}">
  <dimension ref="A1:D96"/>
  <sheetViews>
    <sheetView topLeftCell="A36" workbookViewId="0">
      <selection activeCell="A2" sqref="A2"/>
    </sheetView>
  </sheetViews>
  <sheetFormatPr defaultRowHeight="14.4" x14ac:dyDescent="0.3"/>
  <cols>
    <col min="1" max="1" width="10.5546875" bestFit="1" customWidth="1"/>
    <col min="2" max="2" width="18.6640625" bestFit="1" customWidth="1"/>
    <col min="3" max="3" width="10.109375" bestFit="1" customWidth="1"/>
    <col min="4" max="4" width="15.33203125" bestFit="1" customWidth="1"/>
    <col min="5" max="5" width="10.109375" bestFit="1" customWidth="1"/>
  </cols>
  <sheetData>
    <row r="1" spans="1:4" x14ac:dyDescent="0.3">
      <c r="A1" t="s">
        <v>1</v>
      </c>
      <c r="B1" t="s">
        <v>113</v>
      </c>
      <c r="C1" t="s">
        <v>114</v>
      </c>
      <c r="D1" t="s">
        <v>115</v>
      </c>
    </row>
    <row r="2" spans="1:4" x14ac:dyDescent="0.3">
      <c r="A2" s="37">
        <v>45383</v>
      </c>
      <c r="B2" t="s">
        <v>2</v>
      </c>
      <c r="C2">
        <v>2600</v>
      </c>
      <c r="D2" t="s">
        <v>116</v>
      </c>
    </row>
    <row r="3" spans="1:4" x14ac:dyDescent="0.3">
      <c r="A3" s="37">
        <v>45383</v>
      </c>
      <c r="B3" t="s">
        <v>5</v>
      </c>
      <c r="C3">
        <v>64300</v>
      </c>
      <c r="D3" t="s">
        <v>116</v>
      </c>
    </row>
    <row r="4" spans="1:4" x14ac:dyDescent="0.3">
      <c r="A4" s="37">
        <v>45384</v>
      </c>
      <c r="B4" t="s">
        <v>2</v>
      </c>
      <c r="C4">
        <v>14700</v>
      </c>
      <c r="D4" t="s">
        <v>116</v>
      </c>
    </row>
    <row r="5" spans="1:4" x14ac:dyDescent="0.3">
      <c r="A5" s="37">
        <v>45384</v>
      </c>
      <c r="B5" t="s">
        <v>3</v>
      </c>
      <c r="C5">
        <v>10000</v>
      </c>
      <c r="D5" t="s">
        <v>116</v>
      </c>
    </row>
    <row r="6" spans="1:4" x14ac:dyDescent="0.3">
      <c r="A6" s="37">
        <v>45384</v>
      </c>
      <c r="B6" t="s">
        <v>5</v>
      </c>
      <c r="C6">
        <v>67500</v>
      </c>
      <c r="D6" t="s">
        <v>116</v>
      </c>
    </row>
    <row r="7" spans="1:4" x14ac:dyDescent="0.3">
      <c r="A7" s="37">
        <v>45384</v>
      </c>
      <c r="B7" t="s">
        <v>8</v>
      </c>
      <c r="C7">
        <v>1000</v>
      </c>
      <c r="D7" t="s">
        <v>116</v>
      </c>
    </row>
    <row r="8" spans="1:4" x14ac:dyDescent="0.3">
      <c r="A8" s="37">
        <v>45385</v>
      </c>
      <c r="B8" t="s">
        <v>2</v>
      </c>
      <c r="C8">
        <v>6900</v>
      </c>
      <c r="D8" t="s">
        <v>116</v>
      </c>
    </row>
    <row r="9" spans="1:4" x14ac:dyDescent="0.3">
      <c r="A9" s="37">
        <v>45385</v>
      </c>
      <c r="B9" t="s">
        <v>3</v>
      </c>
      <c r="C9">
        <v>5000</v>
      </c>
      <c r="D9" t="s">
        <v>116</v>
      </c>
    </row>
    <row r="10" spans="1:4" x14ac:dyDescent="0.3">
      <c r="A10" s="37">
        <v>45385</v>
      </c>
      <c r="B10" t="s">
        <v>4</v>
      </c>
      <c r="C10">
        <v>10000</v>
      </c>
      <c r="D10" t="s">
        <v>116</v>
      </c>
    </row>
    <row r="11" spans="1:4" x14ac:dyDescent="0.3">
      <c r="A11" s="37">
        <v>45385</v>
      </c>
      <c r="B11" t="s">
        <v>5</v>
      </c>
      <c r="C11">
        <v>72200</v>
      </c>
      <c r="D11" t="s">
        <v>116</v>
      </c>
    </row>
    <row r="12" spans="1:4" x14ac:dyDescent="0.3">
      <c r="A12" s="37">
        <v>45386</v>
      </c>
      <c r="B12" t="s">
        <v>2</v>
      </c>
      <c r="C12">
        <v>9300</v>
      </c>
      <c r="D12" t="s">
        <v>116</v>
      </c>
    </row>
    <row r="13" spans="1:4" x14ac:dyDescent="0.3">
      <c r="A13" s="37">
        <v>45386</v>
      </c>
      <c r="B13" t="s">
        <v>3</v>
      </c>
      <c r="C13">
        <v>8500</v>
      </c>
      <c r="D13" t="s">
        <v>116</v>
      </c>
    </row>
    <row r="14" spans="1:4" x14ac:dyDescent="0.3">
      <c r="A14" s="37">
        <v>45386</v>
      </c>
      <c r="B14" t="s">
        <v>5</v>
      </c>
      <c r="C14">
        <v>104300</v>
      </c>
      <c r="D14" t="s">
        <v>116</v>
      </c>
    </row>
    <row r="15" spans="1:4" x14ac:dyDescent="0.3">
      <c r="A15" s="37">
        <v>45387</v>
      </c>
      <c r="B15" t="s">
        <v>2</v>
      </c>
      <c r="C15">
        <v>9500</v>
      </c>
      <c r="D15" t="s">
        <v>116</v>
      </c>
    </row>
    <row r="16" spans="1:4" x14ac:dyDescent="0.3">
      <c r="A16" s="37">
        <v>45387</v>
      </c>
      <c r="B16" t="s">
        <v>3</v>
      </c>
      <c r="C16">
        <v>9500</v>
      </c>
      <c r="D16" t="s">
        <v>116</v>
      </c>
    </row>
    <row r="17" spans="1:4" x14ac:dyDescent="0.3">
      <c r="A17" s="37">
        <v>45387</v>
      </c>
      <c r="B17" t="s">
        <v>5</v>
      </c>
      <c r="C17">
        <v>77400</v>
      </c>
      <c r="D17" t="s">
        <v>116</v>
      </c>
    </row>
    <row r="18" spans="1:4" x14ac:dyDescent="0.3">
      <c r="A18" s="37">
        <v>45387</v>
      </c>
      <c r="B18" t="s">
        <v>8</v>
      </c>
      <c r="C18">
        <v>1000</v>
      </c>
      <c r="D18" t="s">
        <v>116</v>
      </c>
    </row>
    <row r="19" spans="1:4" x14ac:dyDescent="0.3">
      <c r="A19" s="37">
        <v>45388</v>
      </c>
      <c r="B19" t="s">
        <v>2</v>
      </c>
      <c r="C19">
        <v>10500</v>
      </c>
      <c r="D19" t="s">
        <v>116</v>
      </c>
    </row>
    <row r="20" spans="1:4" x14ac:dyDescent="0.3">
      <c r="A20" s="37">
        <v>45388</v>
      </c>
      <c r="B20" t="s">
        <v>3</v>
      </c>
      <c r="C20">
        <v>5000</v>
      </c>
      <c r="D20" t="s">
        <v>116</v>
      </c>
    </row>
    <row r="21" spans="1:4" x14ac:dyDescent="0.3">
      <c r="A21" s="37">
        <v>45388</v>
      </c>
      <c r="B21" t="s">
        <v>5</v>
      </c>
      <c r="C21">
        <v>20700</v>
      </c>
      <c r="D21" t="s">
        <v>116</v>
      </c>
    </row>
    <row r="22" spans="1:4" x14ac:dyDescent="0.3">
      <c r="A22" s="37">
        <v>45388</v>
      </c>
      <c r="B22" t="s">
        <v>43</v>
      </c>
      <c r="C22">
        <v>3000</v>
      </c>
      <c r="D22" t="s">
        <v>116</v>
      </c>
    </row>
    <row r="23" spans="1:4" x14ac:dyDescent="0.3">
      <c r="A23" s="37">
        <v>45389</v>
      </c>
      <c r="B23" t="s">
        <v>2</v>
      </c>
      <c r="C23">
        <v>1500</v>
      </c>
      <c r="D23" t="s">
        <v>116</v>
      </c>
    </row>
    <row r="24" spans="1:4" x14ac:dyDescent="0.3">
      <c r="A24" s="37">
        <v>45389</v>
      </c>
      <c r="B24" t="s">
        <v>3</v>
      </c>
      <c r="C24">
        <v>1000</v>
      </c>
      <c r="D24" t="s">
        <v>116</v>
      </c>
    </row>
    <row r="25" spans="1:4" x14ac:dyDescent="0.3">
      <c r="A25" s="37">
        <v>45389</v>
      </c>
      <c r="B25" t="s">
        <v>4</v>
      </c>
      <c r="C25">
        <v>10000</v>
      </c>
      <c r="D25" t="s">
        <v>116</v>
      </c>
    </row>
    <row r="26" spans="1:4" x14ac:dyDescent="0.3">
      <c r="A26" s="37">
        <v>45389</v>
      </c>
      <c r="B26" t="s">
        <v>5</v>
      </c>
      <c r="C26">
        <v>63000</v>
      </c>
      <c r="D26" t="s">
        <v>116</v>
      </c>
    </row>
    <row r="27" spans="1:4" x14ac:dyDescent="0.3">
      <c r="A27" s="37">
        <v>45390</v>
      </c>
      <c r="B27" t="s">
        <v>2</v>
      </c>
      <c r="C27">
        <v>3900</v>
      </c>
      <c r="D27" t="s">
        <v>116</v>
      </c>
    </row>
    <row r="28" spans="1:4" x14ac:dyDescent="0.3">
      <c r="A28" s="37">
        <v>45390</v>
      </c>
      <c r="B28" t="s">
        <v>3</v>
      </c>
      <c r="C28">
        <v>19000</v>
      </c>
      <c r="D28" t="s">
        <v>116</v>
      </c>
    </row>
    <row r="29" spans="1:4" x14ac:dyDescent="0.3">
      <c r="A29" s="37">
        <v>45390</v>
      </c>
      <c r="B29" t="s">
        <v>5</v>
      </c>
      <c r="C29">
        <v>66900</v>
      </c>
      <c r="D29" t="s">
        <v>116</v>
      </c>
    </row>
    <row r="30" spans="1:4" x14ac:dyDescent="0.3">
      <c r="A30" s="37">
        <v>45391</v>
      </c>
      <c r="B30" t="s">
        <v>2</v>
      </c>
      <c r="C30">
        <v>5400</v>
      </c>
      <c r="D30" t="s">
        <v>116</v>
      </c>
    </row>
    <row r="31" spans="1:4" x14ac:dyDescent="0.3">
      <c r="A31" s="37">
        <v>45391</v>
      </c>
      <c r="B31" t="s">
        <v>3</v>
      </c>
      <c r="C31">
        <v>4000</v>
      </c>
      <c r="D31" t="s">
        <v>116</v>
      </c>
    </row>
    <row r="32" spans="1:4" x14ac:dyDescent="0.3">
      <c r="A32" s="37">
        <v>45391</v>
      </c>
      <c r="B32" t="s">
        <v>4</v>
      </c>
      <c r="C32">
        <v>10000</v>
      </c>
      <c r="D32" t="s">
        <v>116</v>
      </c>
    </row>
    <row r="33" spans="1:4" x14ac:dyDescent="0.3">
      <c r="A33" s="37">
        <v>45391</v>
      </c>
      <c r="B33" t="s">
        <v>5</v>
      </c>
      <c r="C33">
        <v>104550</v>
      </c>
      <c r="D33" t="s">
        <v>116</v>
      </c>
    </row>
    <row r="34" spans="1:4" x14ac:dyDescent="0.3">
      <c r="A34" s="37">
        <v>45391</v>
      </c>
      <c r="B34" t="s">
        <v>6</v>
      </c>
      <c r="C34">
        <v>15000</v>
      </c>
      <c r="D34" t="s">
        <v>116</v>
      </c>
    </row>
    <row r="35" spans="1:4" x14ac:dyDescent="0.3">
      <c r="A35" s="37">
        <v>45392</v>
      </c>
      <c r="B35" t="s">
        <v>2</v>
      </c>
      <c r="C35">
        <v>5600</v>
      </c>
      <c r="D35" t="s">
        <v>116</v>
      </c>
    </row>
    <row r="36" spans="1:4" x14ac:dyDescent="0.3">
      <c r="A36" s="37">
        <v>45392</v>
      </c>
      <c r="B36" t="s">
        <v>3</v>
      </c>
      <c r="C36">
        <v>9500</v>
      </c>
      <c r="D36" t="s">
        <v>116</v>
      </c>
    </row>
    <row r="37" spans="1:4" x14ac:dyDescent="0.3">
      <c r="A37" s="37">
        <v>45392</v>
      </c>
      <c r="B37" t="s">
        <v>4</v>
      </c>
      <c r="C37">
        <v>10000</v>
      </c>
      <c r="D37" t="s">
        <v>116</v>
      </c>
    </row>
    <row r="38" spans="1:4" x14ac:dyDescent="0.3">
      <c r="A38" s="37">
        <v>45392</v>
      </c>
      <c r="B38" t="s">
        <v>5</v>
      </c>
      <c r="C38">
        <v>61800</v>
      </c>
      <c r="D38" t="s">
        <v>116</v>
      </c>
    </row>
    <row r="39" spans="1:4" x14ac:dyDescent="0.3">
      <c r="A39" s="37">
        <v>45392</v>
      </c>
      <c r="B39" t="s">
        <v>8</v>
      </c>
      <c r="C39">
        <v>1000</v>
      </c>
      <c r="D39" t="s">
        <v>116</v>
      </c>
    </row>
    <row r="40" spans="1:4" x14ac:dyDescent="0.3">
      <c r="A40" s="37">
        <v>45393</v>
      </c>
      <c r="B40" t="s">
        <v>2</v>
      </c>
      <c r="C40">
        <v>5200</v>
      </c>
      <c r="D40" t="s">
        <v>116</v>
      </c>
    </row>
    <row r="41" spans="1:4" x14ac:dyDescent="0.3">
      <c r="A41" s="37">
        <v>45393</v>
      </c>
      <c r="B41" t="s">
        <v>3</v>
      </c>
      <c r="C41">
        <v>10000</v>
      </c>
      <c r="D41" t="s">
        <v>116</v>
      </c>
    </row>
    <row r="42" spans="1:4" x14ac:dyDescent="0.3">
      <c r="A42" s="37">
        <v>45393</v>
      </c>
      <c r="B42" t="s">
        <v>5</v>
      </c>
      <c r="C42">
        <v>68600</v>
      </c>
      <c r="D42" t="s">
        <v>116</v>
      </c>
    </row>
    <row r="43" spans="1:4" x14ac:dyDescent="0.3">
      <c r="A43" s="37">
        <v>45394</v>
      </c>
      <c r="B43" t="s">
        <v>2</v>
      </c>
      <c r="C43">
        <v>3000</v>
      </c>
      <c r="D43" t="s">
        <v>116</v>
      </c>
    </row>
    <row r="44" spans="1:4" x14ac:dyDescent="0.3">
      <c r="A44" s="37">
        <v>45394</v>
      </c>
      <c r="B44" t="s">
        <v>5</v>
      </c>
      <c r="C44">
        <v>36500</v>
      </c>
      <c r="D44" t="s">
        <v>116</v>
      </c>
    </row>
    <row r="45" spans="1:4" x14ac:dyDescent="0.3">
      <c r="A45" s="37">
        <v>45394</v>
      </c>
      <c r="B45" t="s">
        <v>8</v>
      </c>
      <c r="C45">
        <v>2000</v>
      </c>
      <c r="D45" t="s">
        <v>116</v>
      </c>
    </row>
    <row r="46" spans="1:4" x14ac:dyDescent="0.3">
      <c r="A46" s="37">
        <v>45395</v>
      </c>
      <c r="B46" t="s">
        <v>2</v>
      </c>
      <c r="C46">
        <v>15000</v>
      </c>
      <c r="D46" t="s">
        <v>116</v>
      </c>
    </row>
    <row r="47" spans="1:4" x14ac:dyDescent="0.3">
      <c r="A47" s="37">
        <v>45395</v>
      </c>
      <c r="B47" t="s">
        <v>5</v>
      </c>
      <c r="C47">
        <v>44950</v>
      </c>
      <c r="D47" t="s">
        <v>116</v>
      </c>
    </row>
    <row r="48" spans="1:4" x14ac:dyDescent="0.3">
      <c r="A48" s="37">
        <v>45396</v>
      </c>
      <c r="B48" t="s">
        <v>2</v>
      </c>
      <c r="C48">
        <v>3000</v>
      </c>
      <c r="D48" t="s">
        <v>116</v>
      </c>
    </row>
    <row r="49" spans="1:4" x14ac:dyDescent="0.3">
      <c r="A49" s="37">
        <v>45396</v>
      </c>
      <c r="B49" t="s">
        <v>5</v>
      </c>
      <c r="C49">
        <v>74300</v>
      </c>
      <c r="D49" t="s">
        <v>116</v>
      </c>
    </row>
    <row r="50" spans="1:4" x14ac:dyDescent="0.3">
      <c r="A50" s="37">
        <v>45396</v>
      </c>
      <c r="B50" t="s">
        <v>8</v>
      </c>
      <c r="C50">
        <v>1000</v>
      </c>
      <c r="D50" t="s">
        <v>116</v>
      </c>
    </row>
    <row r="51" spans="1:4" x14ac:dyDescent="0.3">
      <c r="A51" s="37">
        <v>45397</v>
      </c>
      <c r="B51" t="s">
        <v>2</v>
      </c>
      <c r="C51">
        <v>3900</v>
      </c>
      <c r="D51" t="s">
        <v>116</v>
      </c>
    </row>
    <row r="52" spans="1:4" x14ac:dyDescent="0.3">
      <c r="A52" s="37">
        <v>45397</v>
      </c>
      <c r="B52" t="s">
        <v>5</v>
      </c>
      <c r="C52">
        <v>15800</v>
      </c>
      <c r="D52" t="s">
        <v>116</v>
      </c>
    </row>
    <row r="53" spans="1:4" x14ac:dyDescent="0.3">
      <c r="A53" s="37">
        <v>45398</v>
      </c>
      <c r="B53" t="s">
        <v>2</v>
      </c>
      <c r="C53">
        <v>7300</v>
      </c>
      <c r="D53" t="s">
        <v>116</v>
      </c>
    </row>
    <row r="54" spans="1:4" x14ac:dyDescent="0.3">
      <c r="A54" s="37">
        <v>45398</v>
      </c>
      <c r="B54" t="s">
        <v>3</v>
      </c>
      <c r="C54">
        <v>5000</v>
      </c>
      <c r="D54" t="s">
        <v>116</v>
      </c>
    </row>
    <row r="55" spans="1:4" x14ac:dyDescent="0.3">
      <c r="A55" s="37">
        <v>45398</v>
      </c>
      <c r="B55" t="s">
        <v>5</v>
      </c>
      <c r="C55">
        <v>10700</v>
      </c>
      <c r="D55" t="s">
        <v>116</v>
      </c>
    </row>
    <row r="56" spans="1:4" x14ac:dyDescent="0.3">
      <c r="A56" s="37">
        <v>45398</v>
      </c>
      <c r="B56" t="s">
        <v>8</v>
      </c>
      <c r="C56">
        <v>1000</v>
      </c>
      <c r="D56" t="s">
        <v>116</v>
      </c>
    </row>
    <row r="57" spans="1:4" x14ac:dyDescent="0.3">
      <c r="A57" s="37">
        <v>45399</v>
      </c>
      <c r="B57" t="s">
        <v>5</v>
      </c>
      <c r="C57">
        <v>4700</v>
      </c>
      <c r="D57" t="s">
        <v>116</v>
      </c>
    </row>
    <row r="58" spans="1:4" x14ac:dyDescent="0.3">
      <c r="A58" s="37">
        <v>45399</v>
      </c>
      <c r="B58" t="s">
        <v>8</v>
      </c>
      <c r="C58">
        <v>1000</v>
      </c>
      <c r="D58" t="s">
        <v>116</v>
      </c>
    </row>
    <row r="59" spans="1:4" x14ac:dyDescent="0.3">
      <c r="A59" s="37">
        <v>45400</v>
      </c>
      <c r="B59" t="s">
        <v>2</v>
      </c>
      <c r="C59">
        <v>6900</v>
      </c>
      <c r="D59" t="s">
        <v>116</v>
      </c>
    </row>
    <row r="60" spans="1:4" x14ac:dyDescent="0.3">
      <c r="A60" s="37">
        <v>45400</v>
      </c>
      <c r="B60" t="s">
        <v>3</v>
      </c>
      <c r="C60">
        <v>15000</v>
      </c>
      <c r="D60" t="s">
        <v>116</v>
      </c>
    </row>
    <row r="61" spans="1:4" x14ac:dyDescent="0.3">
      <c r="A61" s="37">
        <v>45400</v>
      </c>
      <c r="B61" t="s">
        <v>5</v>
      </c>
      <c r="C61">
        <v>33500</v>
      </c>
      <c r="D61" t="s">
        <v>116</v>
      </c>
    </row>
    <row r="62" spans="1:4" x14ac:dyDescent="0.3">
      <c r="A62" s="37">
        <v>45401</v>
      </c>
      <c r="B62" t="s">
        <v>2</v>
      </c>
      <c r="C62">
        <v>4300</v>
      </c>
      <c r="D62" t="s">
        <v>116</v>
      </c>
    </row>
    <row r="63" spans="1:4" x14ac:dyDescent="0.3">
      <c r="A63" s="37">
        <v>45401</v>
      </c>
      <c r="B63" t="s">
        <v>5</v>
      </c>
      <c r="C63">
        <v>93900</v>
      </c>
      <c r="D63" t="s">
        <v>116</v>
      </c>
    </row>
    <row r="64" spans="1:4" x14ac:dyDescent="0.3">
      <c r="A64" s="37">
        <v>45401</v>
      </c>
      <c r="B64" t="s">
        <v>6</v>
      </c>
      <c r="C64">
        <v>27000</v>
      </c>
      <c r="D64" t="s">
        <v>116</v>
      </c>
    </row>
    <row r="65" spans="1:4" x14ac:dyDescent="0.3">
      <c r="A65" s="37">
        <v>45402</v>
      </c>
      <c r="B65" t="s">
        <v>2</v>
      </c>
      <c r="C65">
        <v>3000</v>
      </c>
      <c r="D65" t="s">
        <v>116</v>
      </c>
    </row>
    <row r="66" spans="1:4" x14ac:dyDescent="0.3">
      <c r="A66" s="37">
        <v>45402</v>
      </c>
      <c r="B66" t="s">
        <v>4</v>
      </c>
      <c r="C66">
        <v>10000</v>
      </c>
      <c r="D66" t="s">
        <v>116</v>
      </c>
    </row>
    <row r="67" spans="1:4" x14ac:dyDescent="0.3">
      <c r="A67" s="37">
        <v>45402</v>
      </c>
      <c r="B67" t="s">
        <v>5</v>
      </c>
      <c r="C67">
        <v>99800</v>
      </c>
      <c r="D67" t="s">
        <v>116</v>
      </c>
    </row>
    <row r="68" spans="1:4" x14ac:dyDescent="0.3">
      <c r="A68" s="37">
        <v>45403</v>
      </c>
      <c r="B68" t="s">
        <v>2</v>
      </c>
      <c r="C68">
        <v>1500</v>
      </c>
      <c r="D68" t="s">
        <v>116</v>
      </c>
    </row>
    <row r="69" spans="1:4" x14ac:dyDescent="0.3">
      <c r="A69" s="37">
        <v>45404</v>
      </c>
      <c r="B69" t="s">
        <v>2</v>
      </c>
      <c r="C69">
        <v>7600</v>
      </c>
      <c r="D69" t="s">
        <v>116</v>
      </c>
    </row>
    <row r="70" spans="1:4" x14ac:dyDescent="0.3">
      <c r="A70" s="37">
        <v>45404</v>
      </c>
      <c r="B70" t="s">
        <v>5</v>
      </c>
      <c r="C70">
        <v>11700</v>
      </c>
      <c r="D70" t="s">
        <v>116</v>
      </c>
    </row>
    <row r="71" spans="1:4" x14ac:dyDescent="0.3">
      <c r="A71" s="37">
        <v>45405</v>
      </c>
      <c r="B71" t="s">
        <v>2</v>
      </c>
      <c r="C71">
        <v>4500</v>
      </c>
      <c r="D71" t="s">
        <v>116</v>
      </c>
    </row>
    <row r="72" spans="1:4" x14ac:dyDescent="0.3">
      <c r="A72" s="37">
        <v>45405</v>
      </c>
      <c r="B72" t="s">
        <v>3</v>
      </c>
      <c r="C72">
        <v>10500</v>
      </c>
      <c r="D72" t="s">
        <v>116</v>
      </c>
    </row>
    <row r="73" spans="1:4" x14ac:dyDescent="0.3">
      <c r="A73" s="37">
        <v>45405</v>
      </c>
      <c r="B73" t="s">
        <v>4</v>
      </c>
      <c r="C73">
        <v>10000</v>
      </c>
      <c r="D73" t="s">
        <v>116</v>
      </c>
    </row>
    <row r="74" spans="1:4" x14ac:dyDescent="0.3">
      <c r="A74" s="37">
        <v>45405</v>
      </c>
      <c r="B74" t="s">
        <v>5</v>
      </c>
      <c r="C74">
        <v>89300</v>
      </c>
      <c r="D74" t="s">
        <v>116</v>
      </c>
    </row>
    <row r="75" spans="1:4" x14ac:dyDescent="0.3">
      <c r="A75" s="37">
        <v>45406</v>
      </c>
      <c r="B75" t="s">
        <v>2</v>
      </c>
      <c r="C75">
        <v>2800</v>
      </c>
      <c r="D75" t="s">
        <v>116</v>
      </c>
    </row>
    <row r="76" spans="1:4" x14ac:dyDescent="0.3">
      <c r="A76" s="37">
        <v>45406</v>
      </c>
      <c r="B76" t="s">
        <v>3</v>
      </c>
      <c r="C76">
        <v>5000</v>
      </c>
      <c r="D76" t="s">
        <v>116</v>
      </c>
    </row>
    <row r="77" spans="1:4" x14ac:dyDescent="0.3">
      <c r="A77" s="37">
        <v>45406</v>
      </c>
      <c r="B77" t="s">
        <v>5</v>
      </c>
      <c r="C77">
        <v>38800</v>
      </c>
      <c r="D77" t="s">
        <v>116</v>
      </c>
    </row>
    <row r="78" spans="1:4" x14ac:dyDescent="0.3">
      <c r="A78" s="37">
        <v>45407</v>
      </c>
      <c r="B78" t="s">
        <v>2</v>
      </c>
      <c r="C78">
        <v>2600</v>
      </c>
      <c r="D78" t="s">
        <v>116</v>
      </c>
    </row>
    <row r="79" spans="1:4" x14ac:dyDescent="0.3">
      <c r="A79" s="37">
        <v>45407</v>
      </c>
      <c r="B79" t="s">
        <v>3</v>
      </c>
      <c r="C79">
        <v>6500</v>
      </c>
      <c r="D79" t="s">
        <v>116</v>
      </c>
    </row>
    <row r="80" spans="1:4" x14ac:dyDescent="0.3">
      <c r="A80" s="37">
        <v>45407</v>
      </c>
      <c r="B80" t="s">
        <v>5</v>
      </c>
      <c r="C80">
        <v>29200</v>
      </c>
      <c r="D80" t="s">
        <v>116</v>
      </c>
    </row>
    <row r="81" spans="1:4" x14ac:dyDescent="0.3">
      <c r="A81" s="37">
        <v>45407</v>
      </c>
      <c r="B81" t="s">
        <v>8</v>
      </c>
      <c r="C81">
        <v>1000</v>
      </c>
      <c r="D81" t="s">
        <v>116</v>
      </c>
    </row>
    <row r="82" spans="1:4" x14ac:dyDescent="0.3">
      <c r="A82" s="37">
        <v>45408</v>
      </c>
      <c r="B82" t="s">
        <v>2</v>
      </c>
      <c r="C82">
        <v>4300</v>
      </c>
      <c r="D82" t="s">
        <v>116</v>
      </c>
    </row>
    <row r="83" spans="1:4" x14ac:dyDescent="0.3">
      <c r="A83" s="37">
        <v>45408</v>
      </c>
      <c r="B83" t="s">
        <v>4</v>
      </c>
      <c r="C83">
        <v>6000</v>
      </c>
      <c r="D83" t="s">
        <v>116</v>
      </c>
    </row>
    <row r="84" spans="1:4" x14ac:dyDescent="0.3">
      <c r="A84" s="37">
        <v>45408</v>
      </c>
      <c r="B84" t="s">
        <v>5</v>
      </c>
      <c r="C84">
        <v>61400</v>
      </c>
      <c r="D84" t="s">
        <v>116</v>
      </c>
    </row>
    <row r="85" spans="1:4" x14ac:dyDescent="0.3">
      <c r="A85" s="37">
        <v>45408</v>
      </c>
      <c r="B85" t="s">
        <v>7</v>
      </c>
      <c r="C85">
        <v>33500</v>
      </c>
      <c r="D85" t="s">
        <v>116</v>
      </c>
    </row>
    <row r="86" spans="1:4" x14ac:dyDescent="0.3">
      <c r="A86" s="37">
        <v>45409</v>
      </c>
      <c r="B86" t="s">
        <v>2</v>
      </c>
      <c r="C86">
        <v>10500</v>
      </c>
      <c r="D86" t="s">
        <v>116</v>
      </c>
    </row>
    <row r="87" spans="1:4" x14ac:dyDescent="0.3">
      <c r="A87" s="37">
        <v>45409</v>
      </c>
      <c r="B87" t="s">
        <v>5</v>
      </c>
      <c r="C87">
        <v>95200</v>
      </c>
      <c r="D87" t="s">
        <v>116</v>
      </c>
    </row>
    <row r="88" spans="1:4" x14ac:dyDescent="0.3">
      <c r="A88" s="37">
        <v>45410</v>
      </c>
      <c r="B88" t="s">
        <v>2</v>
      </c>
      <c r="C88">
        <v>3000</v>
      </c>
      <c r="D88" t="s">
        <v>116</v>
      </c>
    </row>
    <row r="89" spans="1:4" x14ac:dyDescent="0.3">
      <c r="A89" s="37">
        <v>45410</v>
      </c>
      <c r="B89" t="s">
        <v>5</v>
      </c>
      <c r="C89">
        <v>12700</v>
      </c>
      <c r="D89" t="s">
        <v>116</v>
      </c>
    </row>
    <row r="90" spans="1:4" x14ac:dyDescent="0.3">
      <c r="A90" s="37">
        <v>45411</v>
      </c>
      <c r="B90" t="s">
        <v>2</v>
      </c>
      <c r="C90">
        <v>8200</v>
      </c>
      <c r="D90" t="s">
        <v>116</v>
      </c>
    </row>
    <row r="91" spans="1:4" x14ac:dyDescent="0.3">
      <c r="A91" s="37">
        <v>45411</v>
      </c>
      <c r="B91" t="s">
        <v>3</v>
      </c>
      <c r="C91">
        <v>45500</v>
      </c>
      <c r="D91" t="s">
        <v>116</v>
      </c>
    </row>
    <row r="92" spans="1:4" x14ac:dyDescent="0.3">
      <c r="A92" s="37">
        <v>45411</v>
      </c>
      <c r="B92" t="s">
        <v>5</v>
      </c>
      <c r="C92">
        <v>43100</v>
      </c>
      <c r="D92" t="s">
        <v>116</v>
      </c>
    </row>
    <row r="93" spans="1:4" x14ac:dyDescent="0.3">
      <c r="A93" s="37">
        <v>45412</v>
      </c>
      <c r="B93" t="s">
        <v>2</v>
      </c>
      <c r="C93">
        <v>4300</v>
      </c>
      <c r="D93" t="s">
        <v>116</v>
      </c>
    </row>
    <row r="94" spans="1:4" x14ac:dyDescent="0.3">
      <c r="A94" s="37">
        <v>45412</v>
      </c>
      <c r="B94" t="s">
        <v>3</v>
      </c>
      <c r="C94">
        <v>6500</v>
      </c>
      <c r="D94" t="s">
        <v>116</v>
      </c>
    </row>
    <row r="95" spans="1:4" x14ac:dyDescent="0.3">
      <c r="A95" s="37">
        <v>45412</v>
      </c>
      <c r="B95" t="s">
        <v>5</v>
      </c>
      <c r="C95">
        <v>33000</v>
      </c>
      <c r="D95" t="s">
        <v>116</v>
      </c>
    </row>
    <row r="96" spans="1:4" x14ac:dyDescent="0.3">
      <c r="A96" s="37">
        <v>45412</v>
      </c>
      <c r="B96" t="s">
        <v>8</v>
      </c>
      <c r="C96">
        <v>1000</v>
      </c>
      <c r="D96" t="s">
        <v>116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3602-910D-48D1-A3AE-C9C15FEFAC3F}">
  <dimension ref="A1:F25"/>
  <sheetViews>
    <sheetView workbookViewId="0">
      <selection activeCell="F27" sqref="F27"/>
    </sheetView>
  </sheetViews>
  <sheetFormatPr defaultRowHeight="14.4" x14ac:dyDescent="0.3"/>
  <cols>
    <col min="1" max="1" width="10.5546875" bestFit="1" customWidth="1"/>
    <col min="2" max="2" width="76.33203125" bestFit="1" customWidth="1"/>
    <col min="3" max="3" width="18.21875" bestFit="1" customWidth="1"/>
    <col min="4" max="4" width="20.88671875" bestFit="1" customWidth="1"/>
    <col min="5" max="5" width="11.21875" bestFit="1" customWidth="1"/>
    <col min="6" max="6" width="15.33203125" bestFit="1" customWidth="1"/>
  </cols>
  <sheetData>
    <row r="1" spans="1:6" x14ac:dyDescent="0.3">
      <c r="A1" t="s">
        <v>1</v>
      </c>
      <c r="B1" t="s">
        <v>12</v>
      </c>
      <c r="C1" t="s">
        <v>118</v>
      </c>
      <c r="D1" t="s">
        <v>117</v>
      </c>
      <c r="E1" t="s">
        <v>0</v>
      </c>
      <c r="F1" t="s">
        <v>115</v>
      </c>
    </row>
    <row r="2" spans="1:6" x14ac:dyDescent="0.3">
      <c r="A2" s="37">
        <v>45390</v>
      </c>
      <c r="B2" t="s">
        <v>85</v>
      </c>
      <c r="C2" t="s">
        <v>119</v>
      </c>
      <c r="E2">
        <v>38000</v>
      </c>
      <c r="F2" t="s">
        <v>116</v>
      </c>
    </row>
    <row r="3" spans="1:6" x14ac:dyDescent="0.3">
      <c r="A3" s="37">
        <v>45386</v>
      </c>
      <c r="B3" t="s">
        <v>86</v>
      </c>
      <c r="C3" t="s">
        <v>120</v>
      </c>
      <c r="E3">
        <v>12000</v>
      </c>
      <c r="F3" t="s">
        <v>116</v>
      </c>
    </row>
    <row r="4" spans="1:6" x14ac:dyDescent="0.3">
      <c r="A4" s="37">
        <v>45390</v>
      </c>
      <c r="B4" t="s">
        <v>87</v>
      </c>
      <c r="C4" t="s">
        <v>121</v>
      </c>
      <c r="E4">
        <v>10000</v>
      </c>
      <c r="F4" t="s">
        <v>116</v>
      </c>
    </row>
    <row r="5" spans="1:6" x14ac:dyDescent="0.3">
      <c r="A5" s="37">
        <v>45389</v>
      </c>
      <c r="B5" t="s">
        <v>88</v>
      </c>
      <c r="C5" t="s">
        <v>120</v>
      </c>
      <c r="E5">
        <v>5000</v>
      </c>
      <c r="F5" t="s">
        <v>116</v>
      </c>
    </row>
    <row r="6" spans="1:6" x14ac:dyDescent="0.3">
      <c r="A6" s="37">
        <v>45390</v>
      </c>
      <c r="B6" t="s">
        <v>47</v>
      </c>
      <c r="C6" t="s">
        <v>121</v>
      </c>
      <c r="D6" t="s">
        <v>64</v>
      </c>
      <c r="E6">
        <v>400000</v>
      </c>
      <c r="F6" t="s">
        <v>116</v>
      </c>
    </row>
    <row r="7" spans="1:6" x14ac:dyDescent="0.3">
      <c r="A7" s="37">
        <v>45396</v>
      </c>
      <c r="B7" t="s">
        <v>47</v>
      </c>
      <c r="C7" t="s">
        <v>121</v>
      </c>
      <c r="D7" t="s">
        <v>89</v>
      </c>
      <c r="E7">
        <v>20250</v>
      </c>
      <c r="F7" t="s">
        <v>116</v>
      </c>
    </row>
    <row r="8" spans="1:6" x14ac:dyDescent="0.3">
      <c r="A8" s="37">
        <v>45396</v>
      </c>
      <c r="B8" t="s">
        <v>47</v>
      </c>
      <c r="C8" t="s">
        <v>121</v>
      </c>
      <c r="D8" t="s">
        <v>64</v>
      </c>
      <c r="E8">
        <v>25000</v>
      </c>
      <c r="F8" t="s">
        <v>116</v>
      </c>
    </row>
    <row r="9" spans="1:6" x14ac:dyDescent="0.3">
      <c r="A9" s="37">
        <v>45398</v>
      </c>
      <c r="B9" t="s">
        <v>91</v>
      </c>
      <c r="C9" t="s">
        <v>122</v>
      </c>
      <c r="E9">
        <v>20700</v>
      </c>
      <c r="F9" t="s">
        <v>116</v>
      </c>
    </row>
    <row r="10" spans="1:6" x14ac:dyDescent="0.3">
      <c r="A10" s="37">
        <v>45398</v>
      </c>
      <c r="B10" t="s">
        <v>164</v>
      </c>
      <c r="C10" t="s">
        <v>123</v>
      </c>
      <c r="E10">
        <v>43000</v>
      </c>
      <c r="F10" t="s">
        <v>116</v>
      </c>
    </row>
    <row r="11" spans="1:6" x14ac:dyDescent="0.3">
      <c r="A11" s="37">
        <v>45398</v>
      </c>
      <c r="B11" t="s">
        <v>93</v>
      </c>
      <c r="C11" t="s">
        <v>124</v>
      </c>
      <c r="E11">
        <v>2000</v>
      </c>
      <c r="F11" t="s">
        <v>116</v>
      </c>
    </row>
    <row r="12" spans="1:6" x14ac:dyDescent="0.3">
      <c r="A12" s="37">
        <v>45398</v>
      </c>
      <c r="B12" t="s">
        <v>94</v>
      </c>
      <c r="C12" t="s">
        <v>122</v>
      </c>
      <c r="E12">
        <v>8000</v>
      </c>
      <c r="F12" t="s">
        <v>116</v>
      </c>
    </row>
    <row r="13" spans="1:6" x14ac:dyDescent="0.3">
      <c r="A13" s="37">
        <v>45400</v>
      </c>
      <c r="B13" t="s">
        <v>96</v>
      </c>
      <c r="C13" t="s">
        <v>124</v>
      </c>
      <c r="E13">
        <v>9000</v>
      </c>
      <c r="F13" t="s">
        <v>116</v>
      </c>
    </row>
    <row r="14" spans="1:6" x14ac:dyDescent="0.3">
      <c r="A14" s="37">
        <v>45400</v>
      </c>
      <c r="B14" t="s">
        <v>47</v>
      </c>
      <c r="C14" t="s">
        <v>121</v>
      </c>
      <c r="D14" t="s">
        <v>64</v>
      </c>
      <c r="E14">
        <v>6000</v>
      </c>
      <c r="F14" t="s">
        <v>116</v>
      </c>
    </row>
    <row r="15" spans="1:6" x14ac:dyDescent="0.3">
      <c r="A15" s="37">
        <v>45400</v>
      </c>
      <c r="B15" t="s">
        <v>47</v>
      </c>
      <c r="C15" t="s">
        <v>121</v>
      </c>
      <c r="D15" t="s">
        <v>63</v>
      </c>
      <c r="E15">
        <v>151000</v>
      </c>
      <c r="F15" t="s">
        <v>116</v>
      </c>
    </row>
    <row r="16" spans="1:6" x14ac:dyDescent="0.3">
      <c r="A16" s="37">
        <v>45400</v>
      </c>
      <c r="B16" t="s">
        <v>93</v>
      </c>
      <c r="C16" t="s">
        <v>124</v>
      </c>
      <c r="E16">
        <v>5000</v>
      </c>
      <c r="F16" t="s">
        <v>116</v>
      </c>
    </row>
    <row r="17" spans="1:6" x14ac:dyDescent="0.3">
      <c r="A17" s="37">
        <v>45407</v>
      </c>
      <c r="B17" t="s">
        <v>47</v>
      </c>
      <c r="C17" t="s">
        <v>121</v>
      </c>
      <c r="D17" t="s">
        <v>48</v>
      </c>
      <c r="E17">
        <v>151300</v>
      </c>
      <c r="F17" t="s">
        <v>116</v>
      </c>
    </row>
    <row r="18" spans="1:6" x14ac:dyDescent="0.3">
      <c r="A18" s="37">
        <v>45407</v>
      </c>
      <c r="B18" t="s">
        <v>47</v>
      </c>
      <c r="C18" t="s">
        <v>121</v>
      </c>
      <c r="D18" t="s">
        <v>97</v>
      </c>
      <c r="E18">
        <v>264500</v>
      </c>
      <c r="F18" t="s">
        <v>116</v>
      </c>
    </row>
    <row r="19" spans="1:6" x14ac:dyDescent="0.3">
      <c r="A19" s="37">
        <v>45400</v>
      </c>
      <c r="B19" t="s">
        <v>98</v>
      </c>
      <c r="C19" t="s">
        <v>122</v>
      </c>
      <c r="E19">
        <v>10700</v>
      </c>
      <c r="F19" t="s">
        <v>116</v>
      </c>
    </row>
    <row r="20" spans="1:6" x14ac:dyDescent="0.3">
      <c r="A20" s="37">
        <v>45400</v>
      </c>
      <c r="B20" t="s">
        <v>21</v>
      </c>
      <c r="C20" t="s">
        <v>124</v>
      </c>
      <c r="E20">
        <v>12700</v>
      </c>
      <c r="F20" t="s">
        <v>116</v>
      </c>
    </row>
    <row r="21" spans="1:6" x14ac:dyDescent="0.3">
      <c r="A21" s="37">
        <v>45407</v>
      </c>
      <c r="B21" t="s">
        <v>47</v>
      </c>
      <c r="C21" t="s">
        <v>121</v>
      </c>
      <c r="E21">
        <v>31500</v>
      </c>
      <c r="F21" t="s">
        <v>116</v>
      </c>
    </row>
    <row r="22" spans="1:6" x14ac:dyDescent="0.3">
      <c r="A22" s="37">
        <v>45407</v>
      </c>
      <c r="B22" t="s">
        <v>85</v>
      </c>
      <c r="C22" t="s">
        <v>119</v>
      </c>
      <c r="E22">
        <v>40500</v>
      </c>
      <c r="F22" t="s">
        <v>116</v>
      </c>
    </row>
    <row r="23" spans="1:6" x14ac:dyDescent="0.3">
      <c r="A23" s="37">
        <v>45407</v>
      </c>
      <c r="B23" t="s">
        <v>99</v>
      </c>
      <c r="C23" t="s">
        <v>120</v>
      </c>
      <c r="E23">
        <v>13500</v>
      </c>
      <c r="F23" t="s">
        <v>116</v>
      </c>
    </row>
    <row r="24" spans="1:6" x14ac:dyDescent="0.3">
      <c r="A24" s="37">
        <v>45407</v>
      </c>
      <c r="B24" t="s">
        <v>100</v>
      </c>
      <c r="C24" t="s">
        <v>125</v>
      </c>
      <c r="E24">
        <v>50000</v>
      </c>
      <c r="F24" t="s">
        <v>116</v>
      </c>
    </row>
    <row r="25" spans="1:6" x14ac:dyDescent="0.3">
      <c r="A25" s="37">
        <v>45412</v>
      </c>
      <c r="B25" t="s">
        <v>161</v>
      </c>
      <c r="C25" t="s">
        <v>162</v>
      </c>
      <c r="E25">
        <v>1215000</v>
      </c>
      <c r="F25" t="s">
        <v>116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6"/>
  <sheetViews>
    <sheetView topLeftCell="A31" zoomScale="88" workbookViewId="0">
      <selection activeCell="K56" sqref="K56"/>
    </sheetView>
  </sheetViews>
  <sheetFormatPr defaultColWidth="9.109375" defaultRowHeight="15.6" x14ac:dyDescent="0.3"/>
  <cols>
    <col min="1" max="1" width="11.6640625" style="13" customWidth="1"/>
    <col min="2" max="2" width="19.6640625" style="13" customWidth="1"/>
    <col min="3" max="3" width="10.33203125" style="1" customWidth="1"/>
    <col min="4" max="4" width="14.33203125" style="1" customWidth="1"/>
    <col min="5" max="5" width="29" style="1" bestFit="1" customWidth="1"/>
    <col min="6" max="6" width="7.6640625" style="1" bestFit="1" customWidth="1"/>
    <col min="7" max="7" width="9.5546875" style="1" bestFit="1" customWidth="1"/>
    <col min="8" max="8" width="9.6640625" style="1" bestFit="1" customWidth="1"/>
    <col min="9" max="9" width="11.6640625" style="1" customWidth="1"/>
    <col min="10" max="10" width="10.6640625" style="1" customWidth="1"/>
    <col min="11" max="11" width="10.21875" style="1" customWidth="1"/>
    <col min="12" max="12" width="12.6640625" style="1" customWidth="1"/>
    <col min="13" max="13" width="12.109375" style="1" customWidth="1"/>
    <col min="14" max="14" width="8.77734375" style="1" bestFit="1" customWidth="1"/>
    <col min="15" max="16384" width="9.109375" style="1"/>
  </cols>
  <sheetData>
    <row r="1" spans="1:14" s="10" customFormat="1" ht="17.25" customHeight="1" x14ac:dyDescent="0.3"/>
    <row r="2" spans="1:14" s="10" customFormat="1" x14ac:dyDescent="0.3"/>
    <row r="3" spans="1:14" s="10" customFormat="1" x14ac:dyDescent="0.3">
      <c r="A3" s="11" t="s">
        <v>1</v>
      </c>
      <c r="B3" s="11" t="s">
        <v>112</v>
      </c>
      <c r="C3" s="10" t="s">
        <v>2</v>
      </c>
      <c r="D3" s="10" t="s">
        <v>39</v>
      </c>
      <c r="E3" s="10" t="s">
        <v>34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38</v>
      </c>
      <c r="L3" s="10" t="s">
        <v>43</v>
      </c>
      <c r="M3" s="10" t="s">
        <v>8</v>
      </c>
      <c r="N3" s="10" t="s">
        <v>9</v>
      </c>
    </row>
    <row r="4" spans="1:14" x14ac:dyDescent="0.3">
      <c r="A4" s="12">
        <v>45295</v>
      </c>
      <c r="B4" s="12">
        <f>DATE(2024,4,ROW()-3)</f>
        <v>45383</v>
      </c>
      <c r="C4" s="1">
        <f>1300+1300</f>
        <v>2600</v>
      </c>
      <c r="H4" s="1">
        <f>7500+5000+8200+1000+20000+22600</f>
        <v>64300</v>
      </c>
      <c r="N4" s="1">
        <f>C4+D4+E4+F4+G4+H4+I4+J4+K4+L4+M4</f>
        <v>66900</v>
      </c>
    </row>
    <row r="5" spans="1:14" x14ac:dyDescent="0.3">
      <c r="A5" s="12">
        <v>45326</v>
      </c>
      <c r="B5" s="12">
        <f t="shared" ref="B5:B33" si="0">DATE(2024,4,ROW()-3)</f>
        <v>45384</v>
      </c>
      <c r="C5" s="1">
        <f>1300+1300+2600+1500+1500+1500+1500+3500</f>
        <v>14700</v>
      </c>
      <c r="F5" s="1">
        <f>1000+9000</f>
        <v>10000</v>
      </c>
      <c r="H5" s="1">
        <f>8500+6000+2500+7200+4000+7100+9500+4500+5000+13200</f>
        <v>67500</v>
      </c>
      <c r="M5" s="1">
        <v>1000</v>
      </c>
      <c r="N5" s="1">
        <f t="shared" ref="N5:N34" si="1">C5+D5+E5+F5+G5+H5+I5+J5+K5+L5+M5</f>
        <v>93200</v>
      </c>
    </row>
    <row r="6" spans="1:14" x14ac:dyDescent="0.3">
      <c r="A6" s="12">
        <v>45355</v>
      </c>
      <c r="B6" s="12">
        <f t="shared" si="0"/>
        <v>45385</v>
      </c>
      <c r="C6" s="1">
        <f>1500+1500+1300+2600</f>
        <v>6900</v>
      </c>
      <c r="F6" s="1">
        <f>5000</f>
        <v>5000</v>
      </c>
      <c r="G6" s="1">
        <f>10000</f>
        <v>10000</v>
      </c>
      <c r="H6" s="1">
        <f>40000+10000+11500+4700+6000</f>
        <v>72200</v>
      </c>
      <c r="N6" s="1">
        <f t="shared" si="1"/>
        <v>94100</v>
      </c>
    </row>
    <row r="7" spans="1:14" x14ac:dyDescent="0.3">
      <c r="A7" s="12">
        <v>45386</v>
      </c>
      <c r="B7" s="12">
        <f t="shared" si="0"/>
        <v>45386</v>
      </c>
      <c r="C7" s="1">
        <f>1300+1300+2600+2600+1500</f>
        <v>9300</v>
      </c>
      <c r="F7" s="1">
        <f>1000+6500+1000</f>
        <v>8500</v>
      </c>
      <c r="H7" s="1">
        <f>2000+500+6500+8500+3200+15400+3000+12000+19000+2000+5000+10000+7200+10000</f>
        <v>104300</v>
      </c>
      <c r="N7" s="1">
        <f t="shared" si="1"/>
        <v>122100</v>
      </c>
    </row>
    <row r="8" spans="1:14" x14ac:dyDescent="0.3">
      <c r="A8" s="12">
        <v>45416</v>
      </c>
      <c r="B8" s="12">
        <f t="shared" si="0"/>
        <v>45387</v>
      </c>
      <c r="C8" s="1">
        <f>1500+1500+1500+1500+3500</f>
        <v>9500</v>
      </c>
      <c r="F8" s="1">
        <f>5000+1000+3500</f>
        <v>9500</v>
      </c>
      <c r="H8" s="1">
        <f>20000+4400+10000+5000+18500+17500+2000</f>
        <v>77400</v>
      </c>
      <c r="M8" s="1">
        <v>1000</v>
      </c>
      <c r="N8" s="1">
        <f t="shared" si="1"/>
        <v>97400</v>
      </c>
    </row>
    <row r="9" spans="1:14" x14ac:dyDescent="0.3">
      <c r="A9" s="12">
        <v>45447</v>
      </c>
      <c r="B9" s="12">
        <f t="shared" si="0"/>
        <v>45388</v>
      </c>
      <c r="C9" s="1">
        <f>1500+1500+1500+1500+1500+1500+1500</f>
        <v>10500</v>
      </c>
      <c r="F9" s="1">
        <f>5000</f>
        <v>5000</v>
      </c>
      <c r="H9" s="1">
        <f>3700+5300+4200+1000+2000+1500+3000</f>
        <v>20700</v>
      </c>
      <c r="L9" s="1">
        <f>3000</f>
        <v>3000</v>
      </c>
      <c r="N9" s="1">
        <f t="shared" si="1"/>
        <v>39200</v>
      </c>
    </row>
    <row r="10" spans="1:14" x14ac:dyDescent="0.3">
      <c r="A10" s="12">
        <v>45477</v>
      </c>
      <c r="B10" s="12">
        <f t="shared" si="0"/>
        <v>45389</v>
      </c>
      <c r="C10" s="1">
        <f>1500</f>
        <v>1500</v>
      </c>
      <c r="F10" s="1">
        <f>1000</f>
        <v>1000</v>
      </c>
      <c r="G10" s="1">
        <f>10000</f>
        <v>10000</v>
      </c>
      <c r="H10" s="1">
        <f>20000+1000+16500+23000+2500</f>
        <v>63000</v>
      </c>
      <c r="N10" s="1">
        <f t="shared" si="1"/>
        <v>75500</v>
      </c>
    </row>
    <row r="11" spans="1:14" x14ac:dyDescent="0.3">
      <c r="A11" s="12">
        <v>45508</v>
      </c>
      <c r="B11" s="12">
        <f t="shared" si="0"/>
        <v>45390</v>
      </c>
      <c r="C11" s="1">
        <f>1300+1300+1300</f>
        <v>3900</v>
      </c>
      <c r="F11" s="1">
        <f>19000</f>
        <v>19000</v>
      </c>
      <c r="H11" s="1">
        <f>7200+4000+3200+4000+30000+10000+4000+4500</f>
        <v>66900</v>
      </c>
      <c r="N11" s="1">
        <f t="shared" si="1"/>
        <v>89800</v>
      </c>
    </row>
    <row r="12" spans="1:14" x14ac:dyDescent="0.3">
      <c r="A12" s="12">
        <v>45539</v>
      </c>
      <c r="B12" s="12">
        <f t="shared" si="0"/>
        <v>45391</v>
      </c>
      <c r="C12" s="1">
        <f>1300+2600+1500</f>
        <v>5400</v>
      </c>
      <c r="F12" s="1">
        <f>4000</f>
        <v>4000</v>
      </c>
      <c r="G12" s="1">
        <f>10000</f>
        <v>10000</v>
      </c>
      <c r="H12" s="1">
        <f>8500+1000+2500+3000+5000+6550+50000+16000+12000</f>
        <v>104550</v>
      </c>
      <c r="I12" s="1">
        <v>15000</v>
      </c>
      <c r="N12" s="1">
        <f t="shared" si="1"/>
        <v>138950</v>
      </c>
    </row>
    <row r="13" spans="1:14" x14ac:dyDescent="0.3">
      <c r="A13" s="12">
        <v>45569</v>
      </c>
      <c r="B13" s="12">
        <f t="shared" si="0"/>
        <v>45392</v>
      </c>
      <c r="C13" s="1">
        <f>1300+1300+3000</f>
        <v>5600</v>
      </c>
      <c r="F13" s="1">
        <f>9500</f>
        <v>9500</v>
      </c>
      <c r="G13" s="1">
        <f>10000</f>
        <v>10000</v>
      </c>
      <c r="H13" s="1">
        <f>10000+1800+50000</f>
        <v>61800</v>
      </c>
      <c r="M13" s="1">
        <f>1000</f>
        <v>1000</v>
      </c>
      <c r="N13" s="1">
        <f t="shared" si="1"/>
        <v>87900</v>
      </c>
    </row>
    <row r="14" spans="1:14" x14ac:dyDescent="0.3">
      <c r="A14" s="12">
        <v>45600</v>
      </c>
      <c r="B14" s="12">
        <f t="shared" si="0"/>
        <v>45393</v>
      </c>
      <c r="C14" s="1">
        <f>1300+1300+2600</f>
        <v>5200</v>
      </c>
      <c r="F14" s="1">
        <f>4500+3000+2500</f>
        <v>10000</v>
      </c>
      <c r="H14" s="1">
        <f>8100+23500+7000+15300+11700+3000</f>
        <v>68600</v>
      </c>
      <c r="N14" s="1">
        <f t="shared" si="1"/>
        <v>83800</v>
      </c>
    </row>
    <row r="15" spans="1:14" x14ac:dyDescent="0.3">
      <c r="A15" s="12">
        <v>45630</v>
      </c>
      <c r="B15" s="12">
        <f t="shared" si="0"/>
        <v>45394</v>
      </c>
      <c r="C15" s="1">
        <f>1500+1500</f>
        <v>3000</v>
      </c>
      <c r="H15" s="1">
        <f>2500+15000+2000+17000</f>
        <v>36500</v>
      </c>
      <c r="M15" s="1">
        <f>2000</f>
        <v>2000</v>
      </c>
      <c r="N15" s="1">
        <f t="shared" si="1"/>
        <v>41500</v>
      </c>
    </row>
    <row r="16" spans="1:14" x14ac:dyDescent="0.3">
      <c r="A16" s="12" t="s">
        <v>67</v>
      </c>
      <c r="B16" s="12">
        <f t="shared" si="0"/>
        <v>45395</v>
      </c>
      <c r="C16" s="1">
        <f>1500+1500+3000+6000+1500+1500</f>
        <v>15000</v>
      </c>
      <c r="H16" s="1">
        <f>9000+10000+10500+9250+4200+2000</f>
        <v>44950</v>
      </c>
      <c r="N16" s="1">
        <f t="shared" si="1"/>
        <v>59950</v>
      </c>
    </row>
    <row r="17" spans="1:14" x14ac:dyDescent="0.3">
      <c r="A17" s="12" t="s">
        <v>68</v>
      </c>
      <c r="B17" s="12">
        <f t="shared" si="0"/>
        <v>45396</v>
      </c>
      <c r="C17" s="1">
        <f>1500+1500</f>
        <v>3000</v>
      </c>
      <c r="H17" s="1">
        <f>2850+13200+33600+15450+9200</f>
        <v>74300</v>
      </c>
      <c r="M17" s="1">
        <v>1000</v>
      </c>
      <c r="N17" s="1">
        <f t="shared" si="1"/>
        <v>78300</v>
      </c>
    </row>
    <row r="18" spans="1:14" x14ac:dyDescent="0.3">
      <c r="A18" s="12" t="s">
        <v>69</v>
      </c>
      <c r="B18" s="12">
        <f t="shared" si="0"/>
        <v>45397</v>
      </c>
      <c r="C18" s="1">
        <f>1300+1300+1300</f>
        <v>3900</v>
      </c>
      <c r="H18" s="1">
        <f>4700+11100</f>
        <v>15800</v>
      </c>
      <c r="N18" s="1">
        <f t="shared" si="1"/>
        <v>19700</v>
      </c>
    </row>
    <row r="19" spans="1:14" x14ac:dyDescent="0.3">
      <c r="A19" s="12" t="s">
        <v>70</v>
      </c>
      <c r="B19" s="12">
        <f t="shared" si="0"/>
        <v>45398</v>
      </c>
      <c r="C19" s="1">
        <f>1300+3000+3000</f>
        <v>7300</v>
      </c>
      <c r="F19" s="1">
        <v>5000</v>
      </c>
      <c r="H19" s="1">
        <f>700+10000</f>
        <v>10700</v>
      </c>
      <c r="M19" s="1">
        <v>1000</v>
      </c>
      <c r="N19" s="1">
        <f t="shared" si="1"/>
        <v>24000</v>
      </c>
    </row>
    <row r="20" spans="1:14" x14ac:dyDescent="0.3">
      <c r="A20" s="12" t="s">
        <v>71</v>
      </c>
      <c r="B20" s="12">
        <f t="shared" si="0"/>
        <v>45399</v>
      </c>
      <c r="H20" s="1">
        <f>2700+2000</f>
        <v>4700</v>
      </c>
      <c r="M20" s="1">
        <f>1000</f>
        <v>1000</v>
      </c>
      <c r="N20" s="1">
        <f t="shared" si="1"/>
        <v>5700</v>
      </c>
    </row>
    <row r="21" spans="1:14" x14ac:dyDescent="0.3">
      <c r="A21" s="13" t="s">
        <v>72</v>
      </c>
      <c r="B21" s="12">
        <f t="shared" si="0"/>
        <v>45400</v>
      </c>
      <c r="C21" s="1">
        <f>1300+1300+1300+1500+1500</f>
        <v>6900</v>
      </c>
      <c r="F21" s="1">
        <v>15000</v>
      </c>
      <c r="H21" s="1">
        <f>4200+4800+7500+7800+2000+200+4500+2500</f>
        <v>33500</v>
      </c>
      <c r="N21" s="1">
        <f t="shared" si="1"/>
        <v>55400</v>
      </c>
    </row>
    <row r="22" spans="1:14" x14ac:dyDescent="0.3">
      <c r="A22" s="13" t="s">
        <v>73</v>
      </c>
      <c r="B22" s="12">
        <f t="shared" si="0"/>
        <v>45401</v>
      </c>
      <c r="C22" s="1">
        <f>1300+3000</f>
        <v>4300</v>
      </c>
      <c r="H22" s="1">
        <f>31400+16000+5200+1000+8300+22000+10000</f>
        <v>93900</v>
      </c>
      <c r="I22" s="1">
        <v>27000</v>
      </c>
      <c r="N22" s="1">
        <f t="shared" si="1"/>
        <v>125200</v>
      </c>
    </row>
    <row r="23" spans="1:14" x14ac:dyDescent="0.3">
      <c r="A23" s="13" t="s">
        <v>74</v>
      </c>
      <c r="B23" s="12">
        <f t="shared" si="0"/>
        <v>45402</v>
      </c>
      <c r="C23" s="1">
        <f>1500+1500</f>
        <v>3000</v>
      </c>
      <c r="G23" s="1">
        <f>10000</f>
        <v>10000</v>
      </c>
      <c r="H23" s="1">
        <f>54600+12000+4500+5000+3200+2000+18500</f>
        <v>99800</v>
      </c>
      <c r="N23" s="1">
        <f t="shared" si="1"/>
        <v>112800</v>
      </c>
    </row>
    <row r="24" spans="1:14" x14ac:dyDescent="0.3">
      <c r="A24" s="13" t="s">
        <v>75</v>
      </c>
      <c r="B24" s="12">
        <f t="shared" si="0"/>
        <v>45403</v>
      </c>
      <c r="C24" s="1">
        <f>1500</f>
        <v>1500</v>
      </c>
      <c r="N24" s="1">
        <f t="shared" si="1"/>
        <v>1500</v>
      </c>
    </row>
    <row r="25" spans="1:14" x14ac:dyDescent="0.3">
      <c r="A25" s="13" t="s">
        <v>76</v>
      </c>
      <c r="B25" s="12">
        <f t="shared" si="0"/>
        <v>45404</v>
      </c>
      <c r="C25" s="1">
        <f>1300+1300+1500+3500</f>
        <v>7600</v>
      </c>
      <c r="H25" s="1">
        <f>4300+1500+1000+4200+700</f>
        <v>11700</v>
      </c>
      <c r="N25" s="1">
        <f t="shared" si="1"/>
        <v>19300</v>
      </c>
    </row>
    <row r="26" spans="1:14" x14ac:dyDescent="0.3">
      <c r="A26" s="13" t="s">
        <v>77</v>
      </c>
      <c r="B26" s="12">
        <f t="shared" si="0"/>
        <v>45405</v>
      </c>
      <c r="C26" s="1">
        <f>3000+1500</f>
        <v>4500</v>
      </c>
      <c r="F26" s="1">
        <f>10500</f>
        <v>10500</v>
      </c>
      <c r="G26" s="1">
        <f>10000</f>
        <v>10000</v>
      </c>
      <c r="H26" s="1">
        <f>70600+4000+500+3300+6200+4200+500</f>
        <v>89300</v>
      </c>
      <c r="N26" s="1">
        <f t="shared" si="1"/>
        <v>114300</v>
      </c>
    </row>
    <row r="27" spans="1:14" x14ac:dyDescent="0.3">
      <c r="A27" s="13" t="s">
        <v>78</v>
      </c>
      <c r="B27" s="12">
        <f t="shared" si="0"/>
        <v>45406</v>
      </c>
      <c r="C27" s="1">
        <f>1500+1300</f>
        <v>2800</v>
      </c>
      <c r="F27" s="1">
        <f>5000</f>
        <v>5000</v>
      </c>
      <c r="H27" s="1">
        <f>20000+18800</f>
        <v>38800</v>
      </c>
      <c r="N27" s="1">
        <f t="shared" si="1"/>
        <v>46600</v>
      </c>
    </row>
    <row r="28" spans="1:14" x14ac:dyDescent="0.3">
      <c r="A28" s="13" t="s">
        <v>79</v>
      </c>
      <c r="B28" s="12">
        <f t="shared" si="0"/>
        <v>45407</v>
      </c>
      <c r="C28" s="1">
        <f>1300+1300</f>
        <v>2600</v>
      </c>
      <c r="F28" s="1">
        <f>6500</f>
        <v>6500</v>
      </c>
      <c r="H28" s="1">
        <f>29200</f>
        <v>29200</v>
      </c>
      <c r="M28" s="1">
        <f>1000</f>
        <v>1000</v>
      </c>
      <c r="N28" s="1">
        <f t="shared" si="1"/>
        <v>39300</v>
      </c>
    </row>
    <row r="29" spans="1:14" x14ac:dyDescent="0.3">
      <c r="A29" s="13" t="s">
        <v>80</v>
      </c>
      <c r="B29" s="12">
        <f t="shared" si="0"/>
        <v>45408</v>
      </c>
      <c r="C29" s="1">
        <f>1300+1500+1500</f>
        <v>4300</v>
      </c>
      <c r="G29" s="1">
        <f>6000</f>
        <v>6000</v>
      </c>
      <c r="H29" s="1">
        <f>40400+10000+10000+1000</f>
        <v>61400</v>
      </c>
      <c r="J29" s="1">
        <f>33500</f>
        <v>33500</v>
      </c>
      <c r="N29" s="1">
        <f t="shared" si="1"/>
        <v>105200</v>
      </c>
    </row>
    <row r="30" spans="1:14" x14ac:dyDescent="0.3">
      <c r="A30" s="13" t="s">
        <v>81</v>
      </c>
      <c r="B30" s="12">
        <f t="shared" si="0"/>
        <v>45409</v>
      </c>
      <c r="C30" s="1">
        <f>1500+1500+1500+1500+1500+3000</f>
        <v>10500</v>
      </c>
      <c r="H30" s="1">
        <f>16000+5000+6000+15000+21000+10000+3000+19200</f>
        <v>95200</v>
      </c>
      <c r="N30" s="1">
        <f t="shared" si="1"/>
        <v>105700</v>
      </c>
    </row>
    <row r="31" spans="1:14" x14ac:dyDescent="0.3">
      <c r="A31" s="13" t="s">
        <v>82</v>
      </c>
      <c r="B31" s="12">
        <f t="shared" si="0"/>
        <v>45410</v>
      </c>
      <c r="C31" s="1">
        <f>1500+1500</f>
        <v>3000</v>
      </c>
      <c r="H31" s="1">
        <f>3500+5200+4000</f>
        <v>12700</v>
      </c>
      <c r="N31" s="1">
        <f t="shared" si="1"/>
        <v>15700</v>
      </c>
    </row>
    <row r="32" spans="1:14" x14ac:dyDescent="0.3">
      <c r="A32" s="13" t="s">
        <v>83</v>
      </c>
      <c r="B32" s="12">
        <f t="shared" si="0"/>
        <v>45411</v>
      </c>
      <c r="C32" s="1">
        <f>2600+1300+1300+3000</f>
        <v>8200</v>
      </c>
      <c r="F32" s="1">
        <f>20000+13000+7000+5500</f>
        <v>45500</v>
      </c>
      <c r="H32" s="1">
        <f>4500+5300+3200+500+3200+2900+4000+1000+8300+500+6900+2800</f>
        <v>43100</v>
      </c>
      <c r="N32" s="1">
        <f t="shared" si="1"/>
        <v>96800</v>
      </c>
    </row>
    <row r="33" spans="1:14" x14ac:dyDescent="0.3">
      <c r="A33" s="13" t="s">
        <v>84</v>
      </c>
      <c r="B33" s="12">
        <f t="shared" si="0"/>
        <v>45412</v>
      </c>
      <c r="C33" s="1">
        <f>1500+1500+1300</f>
        <v>4300</v>
      </c>
      <c r="F33" s="1">
        <f>6500</f>
        <v>6500</v>
      </c>
      <c r="H33" s="1">
        <f>3000+20000+8300+1700</f>
        <v>33000</v>
      </c>
      <c r="M33" s="1">
        <f>1000</f>
        <v>1000</v>
      </c>
      <c r="N33" s="1">
        <f t="shared" si="1"/>
        <v>44800</v>
      </c>
    </row>
    <row r="34" spans="1:14" x14ac:dyDescent="0.3">
      <c r="B34" s="12"/>
      <c r="N34" s="1">
        <f t="shared" si="1"/>
        <v>0</v>
      </c>
    </row>
    <row r="35" spans="1:14" x14ac:dyDescent="0.3">
      <c r="C35" s="1">
        <f>SUM(C4:C34)</f>
        <v>170800</v>
      </c>
      <c r="D35" s="1">
        <f>SUM(D4:D34)</f>
        <v>0</v>
      </c>
      <c r="E35" s="1">
        <f t="shared" ref="E35:M35" si="2">SUM(E4:E34)</f>
        <v>0</v>
      </c>
      <c r="F35" s="14">
        <f>SUM(F4:F34)</f>
        <v>175500</v>
      </c>
      <c r="G35" s="1">
        <f t="shared" si="2"/>
        <v>66000</v>
      </c>
      <c r="H35" s="14">
        <f t="shared" si="2"/>
        <v>1599800</v>
      </c>
      <c r="I35" s="14">
        <f t="shared" si="2"/>
        <v>42000</v>
      </c>
      <c r="J35" s="14">
        <f t="shared" si="2"/>
        <v>33500</v>
      </c>
      <c r="K35" s="14">
        <f t="shared" si="2"/>
        <v>0</v>
      </c>
      <c r="L35" s="29">
        <f>SUM(L4:L34)</f>
        <v>3000</v>
      </c>
      <c r="M35" s="14">
        <f t="shared" si="2"/>
        <v>10000</v>
      </c>
      <c r="N35" s="10">
        <f>SUM(N4:N34)</f>
        <v>2100600</v>
      </c>
    </row>
    <row r="37" spans="1:14" x14ac:dyDescent="0.3">
      <c r="E37" s="1" t="s">
        <v>10</v>
      </c>
    </row>
    <row r="38" spans="1:14" x14ac:dyDescent="0.3">
      <c r="C38" s="1" t="s">
        <v>2</v>
      </c>
      <c r="E38" s="1">
        <f>C35/N35*100</f>
        <v>8.1310101875654581</v>
      </c>
    </row>
    <row r="39" spans="1:14" x14ac:dyDescent="0.3">
      <c r="C39" s="1" t="s">
        <v>39</v>
      </c>
      <c r="E39" s="1">
        <f>D35/N35*100</f>
        <v>0</v>
      </c>
    </row>
    <row r="40" spans="1:14" x14ac:dyDescent="0.3">
      <c r="C40" s="1" t="s">
        <v>34</v>
      </c>
      <c r="E40" s="1">
        <f>E35/N35*100</f>
        <v>0</v>
      </c>
      <c r="I40" s="10" t="s">
        <v>14</v>
      </c>
    </row>
    <row r="41" spans="1:14" x14ac:dyDescent="0.3">
      <c r="C41" s="1" t="str">
        <f>F3</f>
        <v>LAB</v>
      </c>
      <c r="E41" s="1">
        <f>F35/N35*100</f>
        <v>8.3547557840616982</v>
      </c>
    </row>
    <row r="42" spans="1:14" x14ac:dyDescent="0.3">
      <c r="C42" s="1" t="s">
        <v>4</v>
      </c>
      <c r="E42" s="1">
        <f>G35/N35*100</f>
        <v>3.1419594401599542</v>
      </c>
      <c r="H42" s="14" t="s">
        <v>23</v>
      </c>
      <c r="I42" s="1">
        <f>F35+H35+I35+J35+M35+K35</f>
        <v>1860800</v>
      </c>
    </row>
    <row r="43" spans="1:14" x14ac:dyDescent="0.3">
      <c r="C43" s="1" t="s">
        <v>5</v>
      </c>
      <c r="E43" s="1">
        <f>H35/N35*100</f>
        <v>76.159192611634779</v>
      </c>
    </row>
    <row r="44" spans="1:14" x14ac:dyDescent="0.3">
      <c r="C44" s="1" t="s">
        <v>6</v>
      </c>
      <c r="E44" s="1">
        <f>I35/N35*100</f>
        <v>1.9994287346472437</v>
      </c>
      <c r="G44" s="1" t="s">
        <v>24</v>
      </c>
      <c r="H44" s="1" t="s">
        <v>29</v>
      </c>
      <c r="I44" s="1">
        <f>C35+G35+E35+D35+L35</f>
        <v>239800</v>
      </c>
    </row>
    <row r="45" spans="1:14" x14ac:dyDescent="0.3">
      <c r="C45" s="1" t="s">
        <v>7</v>
      </c>
      <c r="E45" s="1">
        <f>J35/N35*100</f>
        <v>1.5947824431114921</v>
      </c>
      <c r="H45" s="1" t="s">
        <v>9</v>
      </c>
      <c r="I45" s="10">
        <f>SUM(I42:I44)</f>
        <v>2100600</v>
      </c>
    </row>
    <row r="46" spans="1:14" ht="16.2" thickBot="1" x14ac:dyDescent="0.35">
      <c r="C46" s="1" t="s">
        <v>42</v>
      </c>
      <c r="E46" s="1">
        <f>K35/N35*100</f>
        <v>0</v>
      </c>
      <c r="G46" s="1" t="s">
        <v>26</v>
      </c>
      <c r="H46" s="1" t="s">
        <v>27</v>
      </c>
      <c r="I46" s="1">
        <v>161345</v>
      </c>
    </row>
    <row r="47" spans="1:14" ht="16.2" thickBot="1" x14ac:dyDescent="0.35">
      <c r="C47" s="1" t="str">
        <f>M3</f>
        <v>DRESSING</v>
      </c>
      <c r="E47" s="1">
        <f>M35/N35*100</f>
        <v>0.47605446063029611</v>
      </c>
      <c r="G47" s="1" t="s">
        <v>9</v>
      </c>
      <c r="H47" s="1" t="s">
        <v>0</v>
      </c>
      <c r="I47" s="15">
        <f>SUM(I45:I46)</f>
        <v>2261945</v>
      </c>
    </row>
    <row r="48" spans="1:14" x14ac:dyDescent="0.3">
      <c r="C48" s="1" t="s">
        <v>44</v>
      </c>
      <c r="E48" s="1">
        <f>L35/N35*100</f>
        <v>0.14281633818908884</v>
      </c>
      <c r="I48" s="10"/>
    </row>
    <row r="49" spans="3:11" x14ac:dyDescent="0.3">
      <c r="E49" s="1">
        <f>SUM(E38:E48)</f>
        <v>100.00000000000001</v>
      </c>
    </row>
    <row r="50" spans="3:11" x14ac:dyDescent="0.3">
      <c r="E50" s="1" t="s">
        <v>13</v>
      </c>
    </row>
    <row r="51" spans="3:11" x14ac:dyDescent="0.3">
      <c r="C51" s="1" t="s">
        <v>30</v>
      </c>
    </row>
    <row r="52" spans="3:11" x14ac:dyDescent="0.3">
      <c r="E52" s="1" t="s">
        <v>31</v>
      </c>
      <c r="I52" s="1">
        <v>864450</v>
      </c>
    </row>
    <row r="53" spans="3:11" x14ac:dyDescent="0.3">
      <c r="E53" s="1" t="s">
        <v>18</v>
      </c>
      <c r="I53" s="1">
        <f>[1]IMPREST!E38</f>
        <v>1329650</v>
      </c>
      <c r="K53" s="1">
        <f>N35+I46</f>
        <v>2261945</v>
      </c>
    </row>
    <row r="54" spans="3:11" x14ac:dyDescent="0.3">
      <c r="E54" s="1" t="s">
        <v>9</v>
      </c>
      <c r="I54" s="1">
        <f>I52+I53</f>
        <v>2194100</v>
      </c>
    </row>
    <row r="55" spans="3:11" ht="16.2" thickBot="1" x14ac:dyDescent="0.35">
      <c r="E55" s="1" t="s">
        <v>32</v>
      </c>
      <c r="I55" s="1">
        <v>67845</v>
      </c>
      <c r="K55" s="1">
        <f>K53-I52-I53</f>
        <v>67845</v>
      </c>
    </row>
    <row r="56" spans="3:11" ht="16.2" thickBot="1" x14ac:dyDescent="0.35">
      <c r="E56" s="1" t="s">
        <v>33</v>
      </c>
      <c r="I56" s="15">
        <f>I54+I55</f>
        <v>2261945</v>
      </c>
      <c r="K56" s="1">
        <f>I47-I56</f>
        <v>0</v>
      </c>
    </row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40C52-4D7A-4425-8E44-C2191C8B0299}">
  <dimension ref="A1:B44"/>
  <sheetViews>
    <sheetView topLeftCell="A3" workbookViewId="0">
      <selection activeCell="C44" sqref="C44"/>
    </sheetView>
  </sheetViews>
  <sheetFormatPr defaultRowHeight="14.4" x14ac:dyDescent="0.3"/>
  <cols>
    <col min="1" max="1" width="16.77734375" customWidth="1"/>
    <col min="2" max="2" width="21.33203125" customWidth="1"/>
  </cols>
  <sheetData>
    <row r="1" spans="1:2" x14ac:dyDescent="0.3">
      <c r="A1" t="s">
        <v>126</v>
      </c>
      <c r="B1" t="s">
        <v>118</v>
      </c>
    </row>
    <row r="2" spans="1:2" ht="28.8" x14ac:dyDescent="0.3">
      <c r="A2" s="40" t="s">
        <v>127</v>
      </c>
      <c r="B2" s="41" t="s">
        <v>121</v>
      </c>
    </row>
    <row r="3" spans="1:2" ht="28.8" x14ac:dyDescent="0.3">
      <c r="A3" s="42" t="s">
        <v>128</v>
      </c>
      <c r="B3" s="43" t="s">
        <v>123</v>
      </c>
    </row>
    <row r="4" spans="1:2" ht="28.8" x14ac:dyDescent="0.3">
      <c r="A4" s="40" t="s">
        <v>129</v>
      </c>
      <c r="B4" s="41" t="s">
        <v>123</v>
      </c>
    </row>
    <row r="5" spans="1:2" ht="28.8" x14ac:dyDescent="0.3">
      <c r="A5" s="42" t="s">
        <v>130</v>
      </c>
      <c r="B5" s="43" t="s">
        <v>123</v>
      </c>
    </row>
    <row r="6" spans="1:2" ht="57.6" x14ac:dyDescent="0.3">
      <c r="A6" s="40" t="s">
        <v>131</v>
      </c>
      <c r="B6" s="41" t="s">
        <v>123</v>
      </c>
    </row>
    <row r="7" spans="1:2" ht="28.8" x14ac:dyDescent="0.3">
      <c r="A7" s="42" t="s">
        <v>132</v>
      </c>
      <c r="B7" s="43" t="s">
        <v>122</v>
      </c>
    </row>
    <row r="8" spans="1:2" x14ac:dyDescent="0.3">
      <c r="A8" s="40" t="s">
        <v>85</v>
      </c>
      <c r="B8" s="41" t="s">
        <v>119</v>
      </c>
    </row>
    <row r="9" spans="1:2" ht="28.8" x14ac:dyDescent="0.3">
      <c r="A9" s="42" t="s">
        <v>86</v>
      </c>
      <c r="B9" s="43" t="s">
        <v>120</v>
      </c>
    </row>
    <row r="10" spans="1:2" ht="28.8" x14ac:dyDescent="0.3">
      <c r="A10" s="40" t="s">
        <v>133</v>
      </c>
      <c r="B10" s="41" t="s">
        <v>120</v>
      </c>
    </row>
    <row r="11" spans="1:2" ht="28.8" x14ac:dyDescent="0.3">
      <c r="A11" s="42" t="s">
        <v>134</v>
      </c>
      <c r="B11" s="43" t="s">
        <v>120</v>
      </c>
    </row>
    <row r="12" spans="1:2" ht="28.8" x14ac:dyDescent="0.3">
      <c r="A12" s="40" t="s">
        <v>135</v>
      </c>
      <c r="B12" s="41" t="s">
        <v>120</v>
      </c>
    </row>
    <row r="13" spans="1:2" ht="28.8" x14ac:dyDescent="0.3">
      <c r="A13" s="42" t="s">
        <v>136</v>
      </c>
      <c r="B13" s="43" t="s">
        <v>120</v>
      </c>
    </row>
    <row r="14" spans="1:2" ht="28.8" x14ac:dyDescent="0.3">
      <c r="A14" s="40" t="s">
        <v>21</v>
      </c>
      <c r="B14" s="41" t="s">
        <v>124</v>
      </c>
    </row>
    <row r="15" spans="1:2" x14ac:dyDescent="0.3">
      <c r="A15" s="42" t="s">
        <v>137</v>
      </c>
      <c r="B15" s="43" t="s">
        <v>124</v>
      </c>
    </row>
    <row r="16" spans="1:2" x14ac:dyDescent="0.3">
      <c r="A16" s="40" t="s">
        <v>138</v>
      </c>
      <c r="B16" s="41" t="s">
        <v>124</v>
      </c>
    </row>
    <row r="17" spans="1:2" x14ac:dyDescent="0.3">
      <c r="A17" s="44" t="s">
        <v>139</v>
      </c>
      <c r="B17" s="45" t="s">
        <v>125</v>
      </c>
    </row>
    <row r="18" spans="1:2" x14ac:dyDescent="0.3">
      <c r="A18" s="42" t="s">
        <v>140</v>
      </c>
      <c r="B18" s="43" t="s">
        <v>120</v>
      </c>
    </row>
    <row r="19" spans="1:2" x14ac:dyDescent="0.3">
      <c r="A19" s="42" t="s">
        <v>141</v>
      </c>
      <c r="B19" s="43" t="s">
        <v>120</v>
      </c>
    </row>
    <row r="20" spans="1:2" x14ac:dyDescent="0.3">
      <c r="A20" s="42" t="s">
        <v>142</v>
      </c>
      <c r="B20" s="43" t="s">
        <v>123</v>
      </c>
    </row>
    <row r="21" spans="1:2" x14ac:dyDescent="0.3">
      <c r="A21" s="42" t="s">
        <v>143</v>
      </c>
      <c r="B21" s="43" t="s">
        <v>123</v>
      </c>
    </row>
    <row r="22" spans="1:2" x14ac:dyDescent="0.3">
      <c r="A22" s="44" t="s">
        <v>144</v>
      </c>
      <c r="B22" s="45" t="s">
        <v>123</v>
      </c>
    </row>
    <row r="23" spans="1:2" x14ac:dyDescent="0.3">
      <c r="A23" s="44" t="s">
        <v>145</v>
      </c>
      <c r="B23" s="45" t="s">
        <v>120</v>
      </c>
    </row>
    <row r="24" spans="1:2" x14ac:dyDescent="0.3">
      <c r="A24" s="44" t="s">
        <v>146</v>
      </c>
      <c r="B24" s="45" t="s">
        <v>125</v>
      </c>
    </row>
    <row r="25" spans="1:2" x14ac:dyDescent="0.3">
      <c r="A25" s="42" t="s">
        <v>147</v>
      </c>
      <c r="B25" s="43" t="s">
        <v>120</v>
      </c>
    </row>
    <row r="26" spans="1:2" x14ac:dyDescent="0.3">
      <c r="A26" s="44" t="s">
        <v>148</v>
      </c>
      <c r="B26" s="45" t="s">
        <v>122</v>
      </c>
    </row>
    <row r="27" spans="1:2" x14ac:dyDescent="0.3">
      <c r="A27" s="44" t="s">
        <v>149</v>
      </c>
      <c r="B27" s="45" t="s">
        <v>123</v>
      </c>
    </row>
    <row r="28" spans="1:2" x14ac:dyDescent="0.3">
      <c r="A28" s="44" t="s">
        <v>150</v>
      </c>
      <c r="B28" s="45" t="s">
        <v>120</v>
      </c>
    </row>
    <row r="29" spans="1:2" x14ac:dyDescent="0.3">
      <c r="A29" s="44" t="s">
        <v>151</v>
      </c>
      <c r="B29" s="45" t="s">
        <v>120</v>
      </c>
    </row>
    <row r="30" spans="1:2" x14ac:dyDescent="0.3">
      <c r="A30" s="44" t="s">
        <v>3</v>
      </c>
      <c r="B30" s="45" t="s">
        <v>123</v>
      </c>
    </row>
    <row r="31" spans="1:2" x14ac:dyDescent="0.3">
      <c r="A31" s="42" t="s">
        <v>152</v>
      </c>
      <c r="B31" s="43" t="s">
        <v>120</v>
      </c>
    </row>
    <row r="32" spans="1:2" x14ac:dyDescent="0.3">
      <c r="A32" s="46" t="s">
        <v>153</v>
      </c>
      <c r="B32" s="47" t="s">
        <v>120</v>
      </c>
    </row>
    <row r="33" spans="1:2" x14ac:dyDescent="0.3">
      <c r="A33" s="46" t="s">
        <v>154</v>
      </c>
      <c r="B33" s="47" t="s">
        <v>120</v>
      </c>
    </row>
    <row r="34" spans="1:2" ht="28.8" x14ac:dyDescent="0.3">
      <c r="A34" s="46" t="s">
        <v>155</v>
      </c>
      <c r="B34" s="47" t="s">
        <v>120</v>
      </c>
    </row>
    <row r="35" spans="1:2" x14ac:dyDescent="0.3">
      <c r="A35" s="46" t="s">
        <v>156</v>
      </c>
      <c r="B35" s="47" t="s">
        <v>123</v>
      </c>
    </row>
    <row r="36" spans="1:2" x14ac:dyDescent="0.3">
      <c r="A36" s="46" t="s">
        <v>157</v>
      </c>
      <c r="B36" s="47" t="s">
        <v>123</v>
      </c>
    </row>
    <row r="37" spans="1:2" ht="28.8" x14ac:dyDescent="0.3">
      <c r="A37" s="46" t="s">
        <v>158</v>
      </c>
      <c r="B37" s="47" t="s">
        <v>120</v>
      </c>
    </row>
    <row r="38" spans="1:2" x14ac:dyDescent="0.3">
      <c r="A38" s="46" t="s">
        <v>159</v>
      </c>
      <c r="B38" s="47" t="s">
        <v>120</v>
      </c>
    </row>
    <row r="39" spans="1:2" x14ac:dyDescent="0.3">
      <c r="A39" s="46" t="s">
        <v>160</v>
      </c>
      <c r="B39" s="47" t="s">
        <v>120</v>
      </c>
    </row>
    <row r="40" spans="1:2" x14ac:dyDescent="0.3">
      <c r="A40" s="48" t="s">
        <v>161</v>
      </c>
      <c r="B40" s="49" t="s">
        <v>162</v>
      </c>
    </row>
    <row r="41" spans="1:2" x14ac:dyDescent="0.3">
      <c r="A41" s="44" t="s">
        <v>163</v>
      </c>
      <c r="B41" s="45" t="s">
        <v>122</v>
      </c>
    </row>
    <row r="42" spans="1:2" x14ac:dyDescent="0.3">
      <c r="A42" s="44" t="s">
        <v>88</v>
      </c>
      <c r="B42" s="45" t="s">
        <v>120</v>
      </c>
    </row>
    <row r="43" spans="1:2" ht="28.8" x14ac:dyDescent="0.3">
      <c r="A43" s="42" t="s">
        <v>94</v>
      </c>
      <c r="B43" s="43" t="s">
        <v>122</v>
      </c>
    </row>
    <row r="44" spans="1:2" x14ac:dyDescent="0.3">
      <c r="A44" s="44" t="s">
        <v>165</v>
      </c>
      <c r="B44" s="45" t="s">
        <v>123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0"/>
  <sheetViews>
    <sheetView tabSelected="1" topLeftCell="A17" zoomScale="90" zoomScaleNormal="90" workbookViewId="0">
      <selection activeCell="F25" sqref="F25"/>
    </sheetView>
  </sheetViews>
  <sheetFormatPr defaultRowHeight="15.6" x14ac:dyDescent="0.3"/>
  <cols>
    <col min="1" max="1" width="13" style="13" customWidth="1"/>
    <col min="2" max="2" width="37" style="3" customWidth="1"/>
    <col min="3" max="3" width="18.44140625" style="3" customWidth="1"/>
    <col min="4" max="4" width="24.5546875" customWidth="1"/>
  </cols>
  <sheetData>
    <row r="1" spans="1:5" ht="14.4" x14ac:dyDescent="0.3">
      <c r="A1" s="33" t="s">
        <v>1</v>
      </c>
      <c r="B1" s="38" t="s">
        <v>12</v>
      </c>
      <c r="C1" s="38" t="s">
        <v>117</v>
      </c>
      <c r="D1" s="39" t="s">
        <v>0</v>
      </c>
      <c r="E1" s="22"/>
    </row>
    <row r="2" spans="1:5" x14ac:dyDescent="0.3">
      <c r="A2" s="12">
        <v>45390</v>
      </c>
      <c r="B2" s="26" t="s">
        <v>85</v>
      </c>
      <c r="C2" s="26"/>
      <c r="D2" s="34">
        <v>38000</v>
      </c>
      <c r="E2" s="24"/>
    </row>
    <row r="3" spans="1:5" x14ac:dyDescent="0.3">
      <c r="A3" s="12">
        <v>45386</v>
      </c>
      <c r="B3" s="26" t="s">
        <v>86</v>
      </c>
      <c r="C3" s="26"/>
      <c r="D3" s="34">
        <v>12000</v>
      </c>
      <c r="E3" s="24"/>
    </row>
    <row r="4" spans="1:5" x14ac:dyDescent="0.3">
      <c r="A4" s="12">
        <v>45390</v>
      </c>
      <c r="B4" s="26" t="s">
        <v>87</v>
      </c>
      <c r="C4" s="26"/>
      <c r="D4" s="34">
        <v>10000</v>
      </c>
      <c r="E4" s="24"/>
    </row>
    <row r="5" spans="1:5" x14ac:dyDescent="0.3">
      <c r="A5" s="12">
        <v>45389</v>
      </c>
      <c r="B5" s="26" t="s">
        <v>88</v>
      </c>
      <c r="C5" s="26"/>
      <c r="D5" s="34">
        <v>5000</v>
      </c>
      <c r="E5" s="24"/>
    </row>
    <row r="6" spans="1:5" ht="28.8" x14ac:dyDescent="0.3">
      <c r="A6" s="12">
        <v>45390</v>
      </c>
      <c r="B6" s="26" t="s">
        <v>47</v>
      </c>
      <c r="C6" s="26" t="s">
        <v>64</v>
      </c>
      <c r="D6" s="34">
        <v>400000</v>
      </c>
      <c r="E6" s="24"/>
    </row>
    <row r="7" spans="1:5" x14ac:dyDescent="0.3">
      <c r="A7" s="12" t="s">
        <v>68</v>
      </c>
      <c r="B7" s="26" t="s">
        <v>47</v>
      </c>
      <c r="C7" s="26" t="s">
        <v>89</v>
      </c>
      <c r="D7" s="34">
        <v>20250</v>
      </c>
      <c r="E7" s="24"/>
    </row>
    <row r="8" spans="1:5" ht="28.8" x14ac:dyDescent="0.3">
      <c r="A8" s="12" t="s">
        <v>68</v>
      </c>
      <c r="B8" s="26" t="s">
        <v>47</v>
      </c>
      <c r="C8" s="26" t="s">
        <v>64</v>
      </c>
      <c r="D8" s="34">
        <v>25000</v>
      </c>
      <c r="E8" s="24"/>
    </row>
    <row r="9" spans="1:5" ht="43.2" x14ac:dyDescent="0.3">
      <c r="A9" s="12" t="s">
        <v>90</v>
      </c>
      <c r="B9" s="26" t="s">
        <v>91</v>
      </c>
      <c r="C9" s="26"/>
      <c r="D9" s="34">
        <v>20700</v>
      </c>
      <c r="E9" s="24"/>
    </row>
    <row r="10" spans="1:5" x14ac:dyDescent="0.3">
      <c r="A10" s="12" t="s">
        <v>90</v>
      </c>
      <c r="B10" s="26" t="s">
        <v>164</v>
      </c>
      <c r="C10" s="26"/>
      <c r="D10" s="34">
        <v>43000</v>
      </c>
      <c r="E10" s="24"/>
    </row>
    <row r="11" spans="1:5" x14ac:dyDescent="0.3">
      <c r="A11" s="12" t="s">
        <v>90</v>
      </c>
      <c r="B11" s="26" t="s">
        <v>93</v>
      </c>
      <c r="C11" s="26"/>
      <c r="D11" s="34">
        <v>2000</v>
      </c>
      <c r="E11" s="24"/>
    </row>
    <row r="12" spans="1:5" x14ac:dyDescent="0.3">
      <c r="A12" s="12" t="s">
        <v>90</v>
      </c>
      <c r="B12" s="26" t="s">
        <v>94</v>
      </c>
      <c r="C12" s="26"/>
      <c r="D12" s="34">
        <v>8000</v>
      </c>
      <c r="E12" s="24"/>
    </row>
    <row r="13" spans="1:5" x14ac:dyDescent="0.3">
      <c r="A13" s="12" t="s">
        <v>95</v>
      </c>
      <c r="B13" s="26" t="s">
        <v>96</v>
      </c>
      <c r="C13" s="26"/>
      <c r="D13" s="34">
        <v>9000</v>
      </c>
      <c r="E13" s="24"/>
    </row>
    <row r="14" spans="1:5" ht="28.8" x14ac:dyDescent="0.3">
      <c r="A14" s="12" t="s">
        <v>95</v>
      </c>
      <c r="B14" s="26" t="s">
        <v>47</v>
      </c>
      <c r="C14" s="26" t="s">
        <v>64</v>
      </c>
      <c r="D14" s="34">
        <v>6000</v>
      </c>
      <c r="E14" s="24"/>
    </row>
    <row r="15" spans="1:5" x14ac:dyDescent="0.3">
      <c r="A15" s="12" t="s">
        <v>95</v>
      </c>
      <c r="B15" s="26" t="s">
        <v>47</v>
      </c>
      <c r="C15" s="26" t="s">
        <v>63</v>
      </c>
      <c r="D15" s="34">
        <v>151000</v>
      </c>
      <c r="E15" s="24"/>
    </row>
    <row r="16" spans="1:5" x14ac:dyDescent="0.3">
      <c r="A16" s="12" t="s">
        <v>95</v>
      </c>
      <c r="B16" s="26" t="s">
        <v>93</v>
      </c>
      <c r="C16" s="26"/>
      <c r="D16" s="34">
        <v>5000</v>
      </c>
      <c r="E16" s="24"/>
    </row>
    <row r="17" spans="1:6" x14ac:dyDescent="0.3">
      <c r="A17" s="12" t="s">
        <v>79</v>
      </c>
      <c r="B17" s="26" t="s">
        <v>47</v>
      </c>
      <c r="C17" s="26" t="s">
        <v>48</v>
      </c>
      <c r="D17" s="34">
        <v>151300</v>
      </c>
      <c r="E17" s="24"/>
    </row>
    <row r="18" spans="1:6" ht="28.8" x14ac:dyDescent="0.3">
      <c r="A18" s="12" t="s">
        <v>79</v>
      </c>
      <c r="B18" s="26" t="s">
        <v>47</v>
      </c>
      <c r="C18" s="26" t="s">
        <v>97</v>
      </c>
      <c r="D18" s="34">
        <v>264500</v>
      </c>
      <c r="E18" s="24"/>
    </row>
    <row r="19" spans="1:6" ht="28.8" x14ac:dyDescent="0.3">
      <c r="A19" s="12" t="s">
        <v>95</v>
      </c>
      <c r="B19" s="26" t="s">
        <v>98</v>
      </c>
      <c r="C19" s="26"/>
      <c r="D19" s="34">
        <v>10700</v>
      </c>
      <c r="E19" s="24"/>
    </row>
    <row r="20" spans="1:6" x14ac:dyDescent="0.3">
      <c r="A20" s="12" t="s">
        <v>95</v>
      </c>
      <c r="B20" s="26" t="s">
        <v>21</v>
      </c>
      <c r="C20" s="26"/>
      <c r="D20" s="34">
        <v>12700</v>
      </c>
      <c r="E20" s="24"/>
    </row>
    <row r="21" spans="1:6" x14ac:dyDescent="0.3">
      <c r="A21" s="12" t="s">
        <v>79</v>
      </c>
      <c r="B21" s="26" t="s">
        <v>47</v>
      </c>
      <c r="C21" s="26"/>
      <c r="D21" s="34">
        <v>31500</v>
      </c>
      <c r="E21" s="24"/>
    </row>
    <row r="22" spans="1:6" x14ac:dyDescent="0.3">
      <c r="A22" s="12" t="s">
        <v>79</v>
      </c>
      <c r="B22" s="26" t="s">
        <v>85</v>
      </c>
      <c r="C22" s="26"/>
      <c r="D22" s="34">
        <v>40500</v>
      </c>
      <c r="E22" s="24"/>
    </row>
    <row r="23" spans="1:6" x14ac:dyDescent="0.3">
      <c r="A23" s="12" t="s">
        <v>79</v>
      </c>
      <c r="B23" s="26" t="s">
        <v>99</v>
      </c>
      <c r="C23" s="26"/>
      <c r="D23" s="34">
        <v>13500</v>
      </c>
      <c r="E23" s="24"/>
    </row>
    <row r="24" spans="1:6" x14ac:dyDescent="0.3">
      <c r="A24" s="12" t="s">
        <v>79</v>
      </c>
      <c r="B24" s="26" t="s">
        <v>100</v>
      </c>
      <c r="C24" s="26"/>
      <c r="D24" s="34">
        <v>50000</v>
      </c>
      <c r="E24" s="24"/>
      <c r="F24">
        <f>SUM(D2:D24)</f>
        <v>1329650</v>
      </c>
    </row>
    <row r="25" spans="1:6" x14ac:dyDescent="0.3">
      <c r="A25" s="12"/>
      <c r="B25" s="26"/>
      <c r="C25" s="26"/>
      <c r="D25" s="34"/>
      <c r="E25" s="24"/>
    </row>
    <row r="26" spans="1:6" x14ac:dyDescent="0.3">
      <c r="A26" s="12">
        <v>45412</v>
      </c>
      <c r="B26" s="50" t="s">
        <v>161</v>
      </c>
      <c r="C26" s="50"/>
      <c r="D26" s="51">
        <f>150000+1065000</f>
        <v>1215000</v>
      </c>
      <c r="E26" s="24"/>
    </row>
    <row r="27" spans="1:6" x14ac:dyDescent="0.3">
      <c r="A27" s="12"/>
      <c r="B27" s="26"/>
      <c r="C27" s="26"/>
      <c r="D27" s="24"/>
      <c r="E27" s="24"/>
    </row>
    <row r="28" spans="1:6" x14ac:dyDescent="0.3">
      <c r="A28" s="12"/>
      <c r="B28" s="26"/>
      <c r="C28" s="26"/>
      <c r="D28" s="24"/>
      <c r="E28" s="24"/>
    </row>
    <row r="29" spans="1:6" x14ac:dyDescent="0.3">
      <c r="A29" s="12"/>
      <c r="B29" s="26"/>
      <c r="C29" s="26"/>
      <c r="D29" s="24"/>
      <c r="E29" s="24"/>
    </row>
    <row r="30" spans="1:6" x14ac:dyDescent="0.3">
      <c r="A30" s="12"/>
      <c r="B30" s="26"/>
      <c r="C30" s="26"/>
      <c r="D30" s="24"/>
      <c r="E30" s="24"/>
    </row>
    <row r="31" spans="1:6" x14ac:dyDescent="0.3">
      <c r="A31" s="12"/>
      <c r="B31" s="26"/>
      <c r="C31" s="26"/>
      <c r="D31" s="24"/>
      <c r="E31" s="24"/>
    </row>
    <row r="32" spans="1:6" x14ac:dyDescent="0.3">
      <c r="A32" s="12"/>
      <c r="B32" s="26"/>
      <c r="C32" s="26"/>
      <c r="D32" s="24"/>
      <c r="E32" s="24"/>
    </row>
    <row r="33" spans="1:5" x14ac:dyDescent="0.3">
      <c r="A33" s="12"/>
      <c r="B33" s="26"/>
      <c r="C33" s="26"/>
      <c r="D33" s="24"/>
      <c r="E33" s="24"/>
    </row>
    <row r="34" spans="1:5" x14ac:dyDescent="0.3">
      <c r="A34" s="12"/>
      <c r="B34" s="26"/>
      <c r="C34" s="26"/>
      <c r="D34" s="24"/>
      <c r="E34" s="24"/>
    </row>
    <row r="35" spans="1:5" x14ac:dyDescent="0.3">
      <c r="A35" s="12"/>
      <c r="B35" s="26"/>
      <c r="C35" s="26"/>
      <c r="D35" s="24"/>
      <c r="E35" s="24"/>
    </row>
    <row r="36" spans="1:5" x14ac:dyDescent="0.3">
      <c r="A36" s="12"/>
      <c r="B36" s="26"/>
      <c r="C36" s="26"/>
      <c r="D36" s="24"/>
      <c r="E36" s="24"/>
    </row>
    <row r="37" spans="1:5" x14ac:dyDescent="0.3">
      <c r="A37" s="27"/>
      <c r="B37" s="23"/>
      <c r="C37" s="23"/>
      <c r="D37" s="22"/>
      <c r="E37" s="22"/>
    </row>
    <row r="38" spans="1:5" x14ac:dyDescent="0.3">
      <c r="A38" s="27"/>
      <c r="B38" s="23"/>
      <c r="C38" s="23"/>
      <c r="D38" s="22"/>
      <c r="E38" s="22"/>
    </row>
    <row r="39" spans="1:5" x14ac:dyDescent="0.3">
      <c r="A39" s="27"/>
      <c r="B39" s="23"/>
      <c r="C39" s="23"/>
      <c r="D39" s="22"/>
      <c r="E39" s="22"/>
    </row>
    <row r="40" spans="1:5" x14ac:dyDescent="0.3">
      <c r="A40" s="27"/>
      <c r="B40" s="23"/>
      <c r="C40" s="23"/>
      <c r="D40" s="22"/>
      <c r="E40" s="2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topLeftCell="A10" zoomScale="116" zoomScaleNormal="85" workbookViewId="0">
      <selection activeCell="B5" sqref="B5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7" width="13.33203125" bestFit="1" customWidth="1"/>
    <col min="9" max="9" width="13.33203125" bestFit="1" customWidth="1"/>
  </cols>
  <sheetData>
    <row r="2" spans="1:9" ht="18" x14ac:dyDescent="0.35">
      <c r="A2" s="9" t="s">
        <v>101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[1]REVENUE!M35</f>
        <v>2100600</v>
      </c>
    </row>
    <row r="5" spans="1:9" x14ac:dyDescent="0.3">
      <c r="A5" t="s">
        <v>102</v>
      </c>
      <c r="B5" s="4">
        <v>2424855</v>
      </c>
      <c r="C5" s="8"/>
    </row>
    <row r="6" spans="1:9" x14ac:dyDescent="0.3">
      <c r="A6" t="s">
        <v>28</v>
      </c>
      <c r="B6" s="4">
        <f>[1]MEDICATIONS!E12</f>
        <v>1102550</v>
      </c>
    </row>
    <row r="7" spans="1:9" x14ac:dyDescent="0.3">
      <c r="A7" t="s">
        <v>15</v>
      </c>
      <c r="B7" s="4">
        <f>[1]MEDICATIONS!E18</f>
        <v>19700</v>
      </c>
      <c r="F7" s="4"/>
      <c r="G7" s="4"/>
    </row>
    <row r="8" spans="1:9" x14ac:dyDescent="0.3">
      <c r="A8" t="s">
        <v>103</v>
      </c>
      <c r="B8" s="4">
        <v>2975185</v>
      </c>
      <c r="F8" s="28"/>
      <c r="G8" s="4"/>
    </row>
    <row r="9" spans="1:9" ht="15" thickBot="1" x14ac:dyDescent="0.35">
      <c r="A9" t="s">
        <v>16</v>
      </c>
      <c r="C9" s="4">
        <f>B5+B6+B7-B8</f>
        <v>571920</v>
      </c>
      <c r="E9" s="28"/>
      <c r="F9" s="28"/>
      <c r="I9" s="28"/>
    </row>
    <row r="10" spans="1:9" ht="15" thickBot="1" x14ac:dyDescent="0.35">
      <c r="A10" s="5" t="s">
        <v>17</v>
      </c>
      <c r="B10" s="6"/>
      <c r="C10" s="7">
        <f>C4-C9</f>
        <v>1528680</v>
      </c>
      <c r="F10" s="4"/>
      <c r="I10" s="16">
        <f>589000+2700000</f>
        <v>3289000</v>
      </c>
    </row>
    <row r="11" spans="1:9" x14ac:dyDescent="0.3">
      <c r="A11" s="2" t="s">
        <v>18</v>
      </c>
      <c r="G11" s="4"/>
    </row>
    <row r="12" spans="1:9" x14ac:dyDescent="0.3">
      <c r="A12" t="s">
        <v>19</v>
      </c>
      <c r="B12" s="4">
        <f>150000+1065000</f>
        <v>1215000</v>
      </c>
    </row>
    <row r="13" spans="1:9" x14ac:dyDescent="0.3">
      <c r="A13" t="s">
        <v>35</v>
      </c>
      <c r="B13" s="4">
        <f>'[1]MAINTENANCE-OFFICE SUPPLIES'!E13</f>
        <v>116900</v>
      </c>
      <c r="F13" s="19"/>
    </row>
    <row r="14" spans="1:9" x14ac:dyDescent="0.3">
      <c r="A14" t="s">
        <v>20</v>
      </c>
      <c r="B14" s="4">
        <f>'[1]MAINTENANCE-OFFICE SUPPLIES'!E22</f>
        <v>90500</v>
      </c>
    </row>
    <row r="15" spans="1:9" x14ac:dyDescent="0.3">
      <c r="A15" t="s">
        <v>40</v>
      </c>
      <c r="E15" s="4"/>
      <c r="F15" s="28"/>
      <c r="G15" s="28"/>
    </row>
    <row r="16" spans="1:9" ht="15" thickBot="1" x14ac:dyDescent="0.35">
      <c r="A16" t="s">
        <v>21</v>
      </c>
      <c r="C16" s="4">
        <f>B12+B13+B14+B15+B16</f>
        <v>1422400</v>
      </c>
    </row>
    <row r="17" spans="1:7" ht="15" thickBot="1" x14ac:dyDescent="0.35">
      <c r="A17" s="5" t="s">
        <v>22</v>
      </c>
      <c r="B17" s="6"/>
      <c r="C17" s="7">
        <f>C10-C16</f>
        <v>106280</v>
      </c>
      <c r="G17" s="28"/>
    </row>
    <row r="18" spans="1:7" x14ac:dyDescent="0.3">
      <c r="G18" s="28"/>
    </row>
    <row r="19" spans="1:7" x14ac:dyDescent="0.3">
      <c r="G19" s="4"/>
    </row>
    <row r="20" spans="1:7" x14ac:dyDescent="0.3">
      <c r="F20" s="28"/>
      <c r="G20" s="28"/>
    </row>
    <row r="21" spans="1:7" x14ac:dyDescent="0.3">
      <c r="A21" t="s">
        <v>36</v>
      </c>
      <c r="C21" s="4">
        <v>88400</v>
      </c>
    </row>
    <row r="22" spans="1:7" x14ac:dyDescent="0.3">
      <c r="A22" t="s">
        <v>37</v>
      </c>
      <c r="C22" s="4">
        <v>6200</v>
      </c>
    </row>
    <row r="23" spans="1:7" x14ac:dyDescent="0.3">
      <c r="A23" t="s">
        <v>49</v>
      </c>
      <c r="G23" s="4"/>
    </row>
    <row r="24" spans="1:7" x14ac:dyDescent="0.3">
      <c r="A24" s="16" t="s">
        <v>45</v>
      </c>
      <c r="C24" s="4">
        <v>66000</v>
      </c>
    </row>
    <row r="25" spans="1:7" x14ac:dyDescent="0.3">
      <c r="A25" s="16"/>
      <c r="C25" s="4">
        <f>C21+C22+C23+C24</f>
        <v>160600</v>
      </c>
    </row>
    <row r="26" spans="1:7" x14ac:dyDescent="0.3">
      <c r="A26" t="s">
        <v>41</v>
      </c>
      <c r="C26" s="4">
        <f>C17+C25</f>
        <v>266880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zoomScale="85" zoomScaleNormal="85" workbookViewId="0">
      <selection activeCell="E13" sqref="E13"/>
    </sheetView>
  </sheetViews>
  <sheetFormatPr defaultRowHeight="14.4" x14ac:dyDescent="0.3"/>
  <cols>
    <col min="1" max="1" width="13.5546875" style="17" customWidth="1"/>
    <col min="2" max="2" width="38.5546875" customWidth="1"/>
    <col min="3" max="3" width="9.109375" customWidth="1"/>
    <col min="4" max="4" width="9.6640625" customWidth="1"/>
    <col min="5" max="6" width="9.109375"/>
  </cols>
  <sheetData>
    <row r="1" spans="1:6" x14ac:dyDescent="0.3">
      <c r="A1" s="22" t="s">
        <v>1</v>
      </c>
      <c r="B1" s="23" t="s">
        <v>12</v>
      </c>
      <c r="C1" s="23"/>
      <c r="D1" s="31" t="s">
        <v>11</v>
      </c>
      <c r="E1" s="22" t="s">
        <v>0</v>
      </c>
    </row>
    <row r="2" spans="1:6" ht="15.6" x14ac:dyDescent="0.3">
      <c r="A2" s="12">
        <v>45477</v>
      </c>
      <c r="B2" s="26" t="s">
        <v>88</v>
      </c>
      <c r="C2" s="26"/>
      <c r="D2" s="24"/>
      <c r="E2" s="24">
        <v>5000</v>
      </c>
      <c r="F2" s="24"/>
    </row>
    <row r="3" spans="1:6" ht="28.8" x14ac:dyDescent="0.3">
      <c r="A3" s="12" t="s">
        <v>90</v>
      </c>
      <c r="B3" s="26" t="s">
        <v>91</v>
      </c>
      <c r="C3" s="26"/>
      <c r="D3" s="24"/>
      <c r="E3" s="24">
        <v>20700</v>
      </c>
      <c r="F3" s="24"/>
    </row>
    <row r="4" spans="1:6" ht="15.6" x14ac:dyDescent="0.3">
      <c r="A4" s="12" t="s">
        <v>90</v>
      </c>
      <c r="B4" s="26" t="s">
        <v>94</v>
      </c>
      <c r="C4" s="26"/>
      <c r="D4" s="24"/>
      <c r="E4" s="24">
        <v>8000</v>
      </c>
      <c r="F4" s="24"/>
    </row>
    <row r="5" spans="1:6" ht="28.8" x14ac:dyDescent="0.3">
      <c r="A5" s="12" t="s">
        <v>95</v>
      </c>
      <c r="B5" s="26" t="s">
        <v>98</v>
      </c>
      <c r="C5" s="26"/>
      <c r="D5" s="24"/>
      <c r="E5" s="24">
        <v>10700</v>
      </c>
      <c r="F5" s="24"/>
    </row>
    <row r="6" spans="1:6" ht="15.6" x14ac:dyDescent="0.3">
      <c r="A6" s="12" t="s">
        <v>95</v>
      </c>
      <c r="B6" s="26" t="s">
        <v>96</v>
      </c>
      <c r="C6" s="26"/>
      <c r="D6" s="24"/>
      <c r="E6" s="24">
        <v>9000</v>
      </c>
      <c r="F6" s="24"/>
    </row>
    <row r="7" spans="1:6" ht="15.6" x14ac:dyDescent="0.3">
      <c r="A7" s="12" t="s">
        <v>79</v>
      </c>
      <c r="B7" s="26" t="s">
        <v>99</v>
      </c>
      <c r="C7" s="26"/>
      <c r="D7" s="24"/>
      <c r="E7" s="24">
        <v>13500</v>
      </c>
      <c r="F7" s="24"/>
    </row>
    <row r="8" spans="1:6" ht="15.6" x14ac:dyDescent="0.3">
      <c r="A8" s="12" t="s">
        <v>79</v>
      </c>
      <c r="B8" s="26" t="s">
        <v>100</v>
      </c>
      <c r="C8" s="26"/>
      <c r="D8" s="24"/>
      <c r="E8" s="24">
        <v>50000</v>
      </c>
      <c r="F8" s="24"/>
    </row>
    <row r="9" spans="1:6" ht="15.6" x14ac:dyDescent="0.3">
      <c r="A9" s="12"/>
      <c r="B9" s="26"/>
      <c r="C9" s="26"/>
      <c r="D9" s="24"/>
      <c r="E9" s="24"/>
      <c r="F9" s="24"/>
    </row>
    <row r="10" spans="1:6" ht="15.6" x14ac:dyDescent="0.3">
      <c r="A10" s="12"/>
      <c r="B10" s="26"/>
      <c r="C10" s="26"/>
      <c r="D10" s="24"/>
      <c r="E10" s="24"/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x14ac:dyDescent="0.3">
      <c r="A13" s="25"/>
      <c r="B13" s="22" t="s">
        <v>9</v>
      </c>
      <c r="C13" s="22"/>
      <c r="D13" s="31"/>
      <c r="E13" s="22">
        <f>SUM(E2:E12)</f>
        <v>116900</v>
      </c>
    </row>
    <row r="14" spans="1:6" x14ac:dyDescent="0.3">
      <c r="A14" s="18"/>
      <c r="E14" s="32"/>
    </row>
    <row r="15" spans="1:6" x14ac:dyDescent="0.3">
      <c r="A15" s="18"/>
    </row>
    <row r="16" spans="1:6" x14ac:dyDescent="0.3">
      <c r="A16" s="18"/>
    </row>
    <row r="17" spans="1:6" x14ac:dyDescent="0.3">
      <c r="A17" s="18"/>
      <c r="E17" s="33"/>
    </row>
    <row r="18" spans="1:6" ht="15.6" x14ac:dyDescent="0.3">
      <c r="A18" s="12">
        <v>45508</v>
      </c>
      <c r="B18" s="26" t="s">
        <v>85</v>
      </c>
      <c r="C18" s="26"/>
      <c r="D18" s="24"/>
      <c r="E18" s="24">
        <v>38000</v>
      </c>
      <c r="F18" s="24"/>
    </row>
    <row r="19" spans="1:6" ht="15.6" x14ac:dyDescent="0.3">
      <c r="A19" s="12">
        <v>45386</v>
      </c>
      <c r="B19" s="26" t="s">
        <v>86</v>
      </c>
      <c r="C19" s="26"/>
      <c r="D19" s="24"/>
      <c r="E19" s="24">
        <v>12000</v>
      </c>
      <c r="F19" s="24"/>
    </row>
    <row r="20" spans="1:6" ht="15.6" x14ac:dyDescent="0.3">
      <c r="A20" s="12" t="s">
        <v>79</v>
      </c>
      <c r="B20" s="26" t="s">
        <v>85</v>
      </c>
      <c r="C20" s="26"/>
      <c r="D20" s="24"/>
      <c r="E20" s="24">
        <v>40500</v>
      </c>
      <c r="F20" s="24"/>
    </row>
    <row r="21" spans="1:6" ht="15.6" x14ac:dyDescent="0.3">
      <c r="A21" s="12"/>
      <c r="B21" s="26"/>
      <c r="C21" s="26"/>
      <c r="D21" s="34"/>
      <c r="E21" s="24"/>
      <c r="F21" s="30"/>
    </row>
    <row r="22" spans="1:6" x14ac:dyDescent="0.3">
      <c r="A22" s="18"/>
      <c r="E22" s="22">
        <f>SUM(E18:E21)</f>
        <v>90500</v>
      </c>
    </row>
    <row r="23" spans="1:6" x14ac:dyDescent="0.3">
      <c r="E23" s="22"/>
      <c r="F23">
        <f>SUM(E13,E22)</f>
        <v>207400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workbookViewId="0">
      <selection activeCell="H15" sqref="H15"/>
    </sheetView>
  </sheetViews>
  <sheetFormatPr defaultRowHeight="14.4" x14ac:dyDescent="0.3"/>
  <cols>
    <col min="1" max="1" width="13.44140625" style="21" customWidth="1"/>
    <col min="2" max="2" width="28" customWidth="1"/>
    <col min="3" max="3" width="16.88671875" customWidth="1"/>
    <col min="4" max="4" width="10.6640625" customWidth="1"/>
  </cols>
  <sheetData>
    <row r="1" spans="1:8" ht="15.6" x14ac:dyDescent="0.3">
      <c r="A1" s="12">
        <v>45508</v>
      </c>
      <c r="B1" s="26" t="s">
        <v>87</v>
      </c>
      <c r="C1" s="26"/>
      <c r="D1" s="24"/>
      <c r="E1" s="24">
        <v>10000</v>
      </c>
      <c r="F1" s="24"/>
    </row>
    <row r="2" spans="1:8" ht="28.8" x14ac:dyDescent="0.3">
      <c r="A2" s="12">
        <v>45508</v>
      </c>
      <c r="B2" s="26" t="s">
        <v>47</v>
      </c>
      <c r="C2" s="26" t="s">
        <v>64</v>
      </c>
      <c r="D2" s="24"/>
      <c r="E2" s="24">
        <v>400000</v>
      </c>
      <c r="F2" s="24">
        <v>538500</v>
      </c>
    </row>
    <row r="3" spans="1:8" ht="15.6" x14ac:dyDescent="0.3">
      <c r="A3" s="12" t="s">
        <v>68</v>
      </c>
      <c r="B3" s="26" t="s">
        <v>47</v>
      </c>
      <c r="C3" s="26" t="s">
        <v>89</v>
      </c>
      <c r="D3" s="24"/>
      <c r="E3" s="24">
        <v>20250</v>
      </c>
      <c r="F3" s="24"/>
    </row>
    <row r="4" spans="1:8" ht="28.8" x14ac:dyDescent="0.3">
      <c r="A4" s="12" t="s">
        <v>68</v>
      </c>
      <c r="B4" s="26" t="s">
        <v>47</v>
      </c>
      <c r="C4" s="26" t="s">
        <v>64</v>
      </c>
      <c r="D4" s="24">
        <v>745</v>
      </c>
      <c r="E4" s="24">
        <v>25000</v>
      </c>
      <c r="F4" s="24"/>
    </row>
    <row r="5" spans="1:8" ht="28.8" x14ac:dyDescent="0.3">
      <c r="A5" s="12" t="s">
        <v>90</v>
      </c>
      <c r="B5" s="26" t="s">
        <v>92</v>
      </c>
      <c r="C5" s="26"/>
      <c r="D5" s="24"/>
      <c r="E5" s="24">
        <v>43000</v>
      </c>
      <c r="F5" s="24"/>
    </row>
    <row r="6" spans="1:8" ht="28.8" x14ac:dyDescent="0.3">
      <c r="A6" s="12" t="s">
        <v>95</v>
      </c>
      <c r="B6" s="26" t="s">
        <v>47</v>
      </c>
      <c r="C6" s="26" t="s">
        <v>64</v>
      </c>
      <c r="D6" s="24">
        <v>745</v>
      </c>
      <c r="E6" s="24">
        <v>6000</v>
      </c>
      <c r="F6" s="24"/>
    </row>
    <row r="7" spans="1:8" ht="15.6" x14ac:dyDescent="0.3">
      <c r="A7" s="12" t="s">
        <v>95</v>
      </c>
      <c r="B7" s="26" t="s">
        <v>47</v>
      </c>
      <c r="C7" s="26" t="s">
        <v>63</v>
      </c>
      <c r="D7" s="24"/>
      <c r="E7" s="24">
        <v>151000</v>
      </c>
      <c r="F7" s="24"/>
    </row>
    <row r="8" spans="1:8" ht="28.8" x14ac:dyDescent="0.3">
      <c r="A8" s="12" t="s">
        <v>79</v>
      </c>
      <c r="B8" s="26" t="s">
        <v>47</v>
      </c>
      <c r="C8" s="26" t="s">
        <v>48</v>
      </c>
      <c r="D8" s="24">
        <v>2453</v>
      </c>
      <c r="E8" s="24">
        <v>151300</v>
      </c>
      <c r="F8" s="24"/>
    </row>
    <row r="9" spans="1:8" ht="28.8" x14ac:dyDescent="0.3">
      <c r="A9" s="12" t="s">
        <v>79</v>
      </c>
      <c r="B9" s="26" t="s">
        <v>47</v>
      </c>
      <c r="C9" s="26" t="s">
        <v>97</v>
      </c>
      <c r="D9" s="24">
        <v>3148</v>
      </c>
      <c r="E9" s="24">
        <v>264500</v>
      </c>
      <c r="F9" s="24"/>
    </row>
    <row r="10" spans="1:8" ht="15.6" x14ac:dyDescent="0.3">
      <c r="A10" s="12" t="s">
        <v>79</v>
      </c>
      <c r="B10" s="26" t="s">
        <v>47</v>
      </c>
      <c r="C10" s="26"/>
      <c r="D10" s="24"/>
      <c r="E10" s="24">
        <v>31500</v>
      </c>
      <c r="F10" s="24"/>
    </row>
    <row r="11" spans="1:8" ht="15.6" x14ac:dyDescent="0.3">
      <c r="A11" s="12"/>
      <c r="B11" s="26"/>
      <c r="C11" s="26"/>
      <c r="D11" s="24"/>
      <c r="E11" s="24"/>
      <c r="F11" s="24"/>
    </row>
    <row r="12" spans="1:8" ht="15.6" x14ac:dyDescent="0.3">
      <c r="A12" s="12"/>
      <c r="B12" s="26"/>
      <c r="C12" s="26"/>
      <c r="D12" s="24"/>
      <c r="E12" s="24">
        <f>SUM(E1:E11)</f>
        <v>1102550</v>
      </c>
      <c r="F12" s="24"/>
    </row>
    <row r="13" spans="1:8" x14ac:dyDescent="0.3">
      <c r="A13" s="20"/>
      <c r="B13" s="3"/>
    </row>
    <row r="14" spans="1:8" x14ac:dyDescent="0.3">
      <c r="A14" s="20"/>
      <c r="B14" s="3"/>
    </row>
    <row r="15" spans="1:8" ht="15.6" x14ac:dyDescent="0.3">
      <c r="A15" s="12" t="s">
        <v>90</v>
      </c>
      <c r="B15" s="26" t="s">
        <v>93</v>
      </c>
      <c r="C15" s="26"/>
      <c r="D15" s="24"/>
      <c r="E15" s="24">
        <v>2000</v>
      </c>
      <c r="F15" s="24"/>
      <c r="H15">
        <f>SUM(E12,E18,'MAINTENANCE-OFFICE SUPPLIES'!E22,'MAINTENANCE-OFFICE SUPPLIES'!E13)</f>
        <v>1329650</v>
      </c>
    </row>
    <row r="16" spans="1:8" ht="15.6" x14ac:dyDescent="0.3">
      <c r="A16" s="12" t="s">
        <v>95</v>
      </c>
      <c r="B16" s="26" t="s">
        <v>21</v>
      </c>
      <c r="C16" s="26"/>
      <c r="D16" s="24"/>
      <c r="E16" s="24">
        <v>12700</v>
      </c>
      <c r="F16" s="24"/>
    </row>
    <row r="17" spans="1:6" ht="15.6" x14ac:dyDescent="0.3">
      <c r="A17" s="12" t="s">
        <v>95</v>
      </c>
      <c r="B17" s="26" t="s">
        <v>93</v>
      </c>
      <c r="C17" s="26"/>
      <c r="D17" s="24"/>
      <c r="E17" s="24">
        <v>5000</v>
      </c>
      <c r="F17" s="24"/>
    </row>
    <row r="18" spans="1:6" x14ac:dyDescent="0.3">
      <c r="E18">
        <f>SUM(E15:E17)</f>
        <v>19700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6"/>
  <sheetViews>
    <sheetView workbookViewId="0">
      <selection activeCell="F6" sqref="F6"/>
    </sheetView>
  </sheetViews>
  <sheetFormatPr defaultRowHeight="14.4" x14ac:dyDescent="0.3"/>
  <cols>
    <col min="1" max="1" width="19" style="17" customWidth="1"/>
    <col min="2" max="2" width="24.44140625" customWidth="1"/>
    <col min="3" max="3" width="10.109375" bestFit="1" customWidth="1"/>
    <col min="6" max="7" width="11.6640625" bestFit="1" customWidth="1"/>
    <col min="8" max="8" width="13.33203125" bestFit="1" customWidth="1"/>
    <col min="9" max="9" width="11.6640625" bestFit="1" customWidth="1"/>
    <col min="10" max="10" width="15.109375" customWidth="1"/>
    <col min="11" max="11" width="11.6640625" bestFit="1" customWidth="1"/>
  </cols>
  <sheetData>
    <row r="2" spans="1:16" ht="15.6" x14ac:dyDescent="0.3">
      <c r="A2" s="1" t="s">
        <v>30</v>
      </c>
      <c r="B2" s="1"/>
      <c r="C2" s="1"/>
      <c r="D2" s="1"/>
      <c r="E2" s="1"/>
      <c r="F2" s="1"/>
      <c r="G2" s="1"/>
    </row>
    <row r="3" spans="1:16" ht="15.6" x14ac:dyDescent="0.3">
      <c r="A3" s="1"/>
      <c r="B3" s="1" t="s">
        <v>31</v>
      </c>
      <c r="C3" s="1"/>
      <c r="D3" s="1"/>
      <c r="E3" s="1"/>
      <c r="F3" s="1">
        <f>REVENUE!I52</f>
        <v>864450</v>
      </c>
      <c r="G3" s="1"/>
    </row>
    <row r="4" spans="1:16" ht="15.6" x14ac:dyDescent="0.3">
      <c r="A4" s="1"/>
      <c r="B4" s="1" t="s">
        <v>18</v>
      </c>
      <c r="C4" s="1"/>
      <c r="D4" s="1"/>
      <c r="E4" s="1"/>
      <c r="F4" s="1">
        <f>REVENUE!I53</f>
        <v>1329650</v>
      </c>
      <c r="G4" s="1"/>
    </row>
    <row r="5" spans="1:16" ht="15.6" x14ac:dyDescent="0.3">
      <c r="A5" s="1"/>
      <c r="B5" s="1" t="s">
        <v>9</v>
      </c>
      <c r="C5" s="1"/>
      <c r="D5" s="1"/>
      <c r="E5" s="1"/>
      <c r="F5" s="1">
        <f>F3+F4</f>
        <v>2194100</v>
      </c>
      <c r="G5" s="1"/>
    </row>
    <row r="6" spans="1:16" ht="16.2" thickBot="1" x14ac:dyDescent="0.35">
      <c r="A6" s="1"/>
      <c r="B6" s="1" t="s">
        <v>32</v>
      </c>
      <c r="C6" s="1"/>
      <c r="D6" s="1"/>
      <c r="E6" s="1"/>
      <c r="F6" s="1">
        <f>REVENUE!I55</f>
        <v>67845</v>
      </c>
      <c r="G6" s="1"/>
    </row>
    <row r="7" spans="1:16" ht="16.2" thickBot="1" x14ac:dyDescent="0.35">
      <c r="A7" s="1"/>
      <c r="B7" s="1" t="s">
        <v>33</v>
      </c>
      <c r="C7" s="1"/>
      <c r="D7" s="1"/>
      <c r="E7" s="1"/>
      <c r="F7" s="15">
        <f>F5+F6</f>
        <v>2261945</v>
      </c>
      <c r="G7" s="1"/>
    </row>
    <row r="8" spans="1:16" ht="15.6" x14ac:dyDescent="0.3">
      <c r="A8" s="1"/>
      <c r="B8" s="1"/>
      <c r="C8" s="1"/>
      <c r="D8" s="1"/>
      <c r="E8" s="1"/>
      <c r="F8" s="1"/>
      <c r="G8" s="1"/>
      <c r="K8" s="1"/>
      <c r="L8" s="1"/>
      <c r="M8" s="1"/>
      <c r="N8" s="1"/>
      <c r="O8" s="1"/>
      <c r="P8" s="1"/>
    </row>
    <row r="9" spans="1:16" ht="15.6" x14ac:dyDescent="0.3">
      <c r="K9" s="1"/>
      <c r="L9" s="1"/>
      <c r="M9" s="1"/>
      <c r="N9" s="1"/>
      <c r="O9" s="1"/>
      <c r="P9" s="1"/>
    </row>
    <row r="10" spans="1:16" ht="15.6" x14ac:dyDescent="0.3">
      <c r="A10" s="17" t="s">
        <v>104</v>
      </c>
      <c r="H10" s="28"/>
      <c r="K10" s="1"/>
      <c r="L10" s="1"/>
      <c r="M10" s="1"/>
      <c r="N10" s="1"/>
      <c r="O10" s="1"/>
      <c r="P10" s="1"/>
    </row>
    <row r="11" spans="1:16" ht="15.6" x14ac:dyDescent="0.3">
      <c r="K11" s="1"/>
      <c r="L11" s="1"/>
      <c r="M11" s="1"/>
      <c r="N11" s="1"/>
      <c r="O11" s="1"/>
      <c r="P11" s="1"/>
    </row>
    <row r="12" spans="1:16" ht="15.6" x14ac:dyDescent="0.3">
      <c r="B12" t="s">
        <v>50</v>
      </c>
      <c r="F12">
        <f>REVENUE!N35</f>
        <v>2100600</v>
      </c>
      <c r="K12" s="1"/>
      <c r="L12" s="1"/>
      <c r="M12" s="1"/>
      <c r="N12" s="1"/>
      <c r="O12" s="1"/>
      <c r="P12" s="1"/>
    </row>
    <row r="13" spans="1:16" ht="16.2" thickBot="1" x14ac:dyDescent="0.35">
      <c r="B13" t="s">
        <v>51</v>
      </c>
      <c r="F13">
        <f>REVENUE!I46</f>
        <v>161345</v>
      </c>
      <c r="K13" s="1"/>
      <c r="L13" s="1"/>
      <c r="M13" s="1"/>
      <c r="N13" s="1"/>
      <c r="O13" s="1"/>
      <c r="P13" s="1"/>
    </row>
    <row r="14" spans="1:16" ht="15" thickBot="1" x14ac:dyDescent="0.35">
      <c r="B14" t="s">
        <v>9</v>
      </c>
      <c r="F14" s="35">
        <f>F12+F13</f>
        <v>2261945</v>
      </c>
    </row>
    <row r="15" spans="1:16" x14ac:dyDescent="0.3">
      <c r="H15" s="28"/>
    </row>
    <row r="16" spans="1:16" x14ac:dyDescent="0.3">
      <c r="H16" s="28"/>
    </row>
    <row r="17" spans="1:11" ht="15.6" x14ac:dyDescent="0.3">
      <c r="A17" s="36" t="s">
        <v>52</v>
      </c>
      <c r="H17" s="4"/>
      <c r="J17" s="1"/>
    </row>
    <row r="18" spans="1:11" x14ac:dyDescent="0.3">
      <c r="A18" s="17" t="s">
        <v>105</v>
      </c>
      <c r="G18" s="4"/>
      <c r="I18" s="4"/>
      <c r="K18" s="4"/>
    </row>
    <row r="19" spans="1:11" x14ac:dyDescent="0.3">
      <c r="A19" s="17" t="s">
        <v>106</v>
      </c>
      <c r="G19" s="4"/>
      <c r="H19" s="4"/>
    </row>
    <row r="20" spans="1:11" x14ac:dyDescent="0.3">
      <c r="A20" s="17" t="s">
        <v>107</v>
      </c>
      <c r="G20" s="4"/>
      <c r="H20" s="4"/>
    </row>
    <row r="21" spans="1:11" x14ac:dyDescent="0.3">
      <c r="A21" s="17" t="s">
        <v>109</v>
      </c>
      <c r="H21" s="4"/>
    </row>
    <row r="22" spans="1:11" x14ac:dyDescent="0.3">
      <c r="A22" s="17" t="s">
        <v>108</v>
      </c>
    </row>
    <row r="23" spans="1:11" x14ac:dyDescent="0.3">
      <c r="H23" s="4"/>
    </row>
    <row r="26" spans="1:11" x14ac:dyDescent="0.3">
      <c r="F2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topLeftCell="A18" workbookViewId="0">
      <selection activeCell="B13" sqref="B13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5" width="13.33203125" bestFit="1" customWidth="1"/>
    <col min="6" max="6" width="11.6640625" customWidth="1"/>
    <col min="7" max="7" width="23" customWidth="1"/>
    <col min="9" max="9" width="13.33203125" bestFit="1" customWidth="1"/>
  </cols>
  <sheetData>
    <row r="2" spans="1:9" ht="18" x14ac:dyDescent="0.35">
      <c r="A2" s="9" t="s">
        <v>101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REVENUE!F35</f>
        <v>175500</v>
      </c>
    </row>
    <row r="5" spans="1:9" x14ac:dyDescent="0.3">
      <c r="A5" t="s">
        <v>65</v>
      </c>
      <c r="B5" s="4">
        <v>282000</v>
      </c>
      <c r="C5" s="8"/>
      <c r="G5" t="s">
        <v>53</v>
      </c>
      <c r="H5">
        <v>249000</v>
      </c>
    </row>
    <row r="6" spans="1:9" x14ac:dyDescent="0.3">
      <c r="A6" t="s">
        <v>28</v>
      </c>
      <c r="B6" s="4">
        <v>61500</v>
      </c>
      <c r="G6" t="s">
        <v>54</v>
      </c>
      <c r="H6">
        <v>280000</v>
      </c>
    </row>
    <row r="7" spans="1:9" x14ac:dyDescent="0.3">
      <c r="A7" t="s">
        <v>15</v>
      </c>
      <c r="F7" s="4"/>
      <c r="G7" t="s">
        <v>55</v>
      </c>
      <c r="H7">
        <v>76010</v>
      </c>
    </row>
    <row r="8" spans="1:9" x14ac:dyDescent="0.3">
      <c r="A8" t="s">
        <v>66</v>
      </c>
      <c r="B8" s="4">
        <v>291000</v>
      </c>
      <c r="F8" s="28"/>
      <c r="G8" s="4" t="s">
        <v>56</v>
      </c>
      <c r="H8">
        <f>SUM(H5:H7)</f>
        <v>605010</v>
      </c>
    </row>
    <row r="9" spans="1:9" ht="15" thickBot="1" x14ac:dyDescent="0.35">
      <c r="A9" t="s">
        <v>16</v>
      </c>
      <c r="C9" s="4">
        <f>B5+B6+B7-B8</f>
        <v>52500</v>
      </c>
      <c r="E9" s="28"/>
      <c r="F9" s="28"/>
      <c r="G9" s="4"/>
    </row>
    <row r="10" spans="1:9" ht="15" thickBot="1" x14ac:dyDescent="0.35">
      <c r="A10" s="5" t="s">
        <v>17</v>
      </c>
      <c r="B10" s="6"/>
      <c r="C10" s="7">
        <f>C4-C9</f>
        <v>123000</v>
      </c>
      <c r="F10" s="4"/>
      <c r="G10" t="s">
        <v>57</v>
      </c>
      <c r="I10" s="28">
        <v>337500</v>
      </c>
    </row>
    <row r="11" spans="1:9" x14ac:dyDescent="0.3">
      <c r="A11" s="2" t="s">
        <v>18</v>
      </c>
      <c r="F11" s="28"/>
      <c r="G11" t="s">
        <v>58</v>
      </c>
      <c r="I11">
        <v>261500</v>
      </c>
    </row>
    <row r="12" spans="1:9" x14ac:dyDescent="0.3">
      <c r="A12" t="s">
        <v>19</v>
      </c>
      <c r="B12" s="4">
        <v>35000</v>
      </c>
      <c r="G12" s="4" t="s">
        <v>59</v>
      </c>
      <c r="I12" s="28">
        <f>SUM(I10:I11)</f>
        <v>599000</v>
      </c>
    </row>
    <row r="13" spans="1:9" x14ac:dyDescent="0.3">
      <c r="A13" t="s">
        <v>35</v>
      </c>
      <c r="B13" s="4">
        <v>24000</v>
      </c>
      <c r="F13" s="19"/>
      <c r="G13" s="4"/>
      <c r="I13" s="28"/>
    </row>
    <row r="14" spans="1:9" x14ac:dyDescent="0.3">
      <c r="A14" t="s">
        <v>20</v>
      </c>
      <c r="B14" s="4">
        <v>22600</v>
      </c>
      <c r="G14" s="19" t="s">
        <v>60</v>
      </c>
      <c r="H14">
        <v>210000</v>
      </c>
    </row>
    <row r="15" spans="1:9" x14ac:dyDescent="0.3">
      <c r="A15" t="s">
        <v>40</v>
      </c>
      <c r="E15" s="4"/>
      <c r="G15" t="s">
        <v>61</v>
      </c>
      <c r="H15">
        <f>SUM(H8:H14)</f>
        <v>815010</v>
      </c>
    </row>
    <row r="16" spans="1:9" ht="15" thickBot="1" x14ac:dyDescent="0.35">
      <c r="A16" t="s">
        <v>21</v>
      </c>
      <c r="C16" s="4">
        <f>B12+B13+B14+B15+B16</f>
        <v>81600</v>
      </c>
    </row>
    <row r="17" spans="1:8" ht="15" thickBot="1" x14ac:dyDescent="0.35">
      <c r="A17" s="5" t="s">
        <v>22</v>
      </c>
      <c r="B17" s="6"/>
      <c r="C17" s="7">
        <f>C10-C16</f>
        <v>41400</v>
      </c>
      <c r="G17" t="s">
        <v>62</v>
      </c>
      <c r="H17">
        <v>599000</v>
      </c>
    </row>
    <row r="18" spans="1:8" x14ac:dyDescent="0.3">
      <c r="G18" s="28" t="s">
        <v>26</v>
      </c>
      <c r="H18">
        <f>H15-H17</f>
        <v>216010</v>
      </c>
    </row>
    <row r="20" spans="1:8" x14ac:dyDescent="0.3">
      <c r="F20" s="28"/>
      <c r="G20" s="28"/>
    </row>
    <row r="21" spans="1:8" x14ac:dyDescent="0.3">
      <c r="A21" t="s">
        <v>36</v>
      </c>
      <c r="G21" s="28"/>
    </row>
    <row r="22" spans="1:8" x14ac:dyDescent="0.3">
      <c r="A22" t="s">
        <v>37</v>
      </c>
    </row>
    <row r="23" spans="1:8" x14ac:dyDescent="0.3">
      <c r="A23" t="s">
        <v>46</v>
      </c>
      <c r="G23" t="s">
        <v>110</v>
      </c>
      <c r="H23">
        <v>314110</v>
      </c>
    </row>
    <row r="24" spans="1:8" x14ac:dyDescent="0.3">
      <c r="A24" s="16" t="s">
        <v>45</v>
      </c>
      <c r="G24" t="s">
        <v>111</v>
      </c>
      <c r="H24">
        <v>41400</v>
      </c>
    </row>
    <row r="25" spans="1:8" x14ac:dyDescent="0.3">
      <c r="A25" s="16"/>
      <c r="C25" s="4">
        <f>C21+C22+C23+C24</f>
        <v>0</v>
      </c>
      <c r="H25">
        <f>H23-H24</f>
        <v>272710</v>
      </c>
    </row>
    <row r="26" spans="1:8" x14ac:dyDescent="0.3">
      <c r="A26" t="s">
        <v>41</v>
      </c>
      <c r="C26" s="4">
        <f>C17+C25</f>
        <v>41400</v>
      </c>
      <c r="G26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4EF976-E7B6-43D4-A5FF-D250579845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April24Rev</vt:lpstr>
      <vt:lpstr>April24Exp</vt:lpstr>
      <vt:lpstr>REVENUE</vt:lpstr>
      <vt:lpstr>ExpenseCat</vt:lpstr>
      <vt:lpstr>EXPENSES</vt:lpstr>
      <vt:lpstr>FIN. REPORT</vt:lpstr>
      <vt:lpstr>MAINTENANCE-OFFICE SUPPLIES</vt:lpstr>
      <vt:lpstr>MEDICATIONS</vt:lpstr>
      <vt:lpstr>SUMMARY</vt:lpstr>
      <vt:lpstr>EZINNE LAB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cp:lastPrinted>2023-12-07T09:31:47Z</cp:lastPrinted>
  <dcterms:created xsi:type="dcterms:W3CDTF">2021-07-05T08:45:26Z</dcterms:created>
  <dcterms:modified xsi:type="dcterms:W3CDTF">2026-09-13T15:48:38Z</dcterms:modified>
</cp:coreProperties>
</file>