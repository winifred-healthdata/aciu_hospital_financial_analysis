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CIU\"/>
    </mc:Choice>
  </mc:AlternateContent>
  <xr:revisionPtr revIDLastSave="0" documentId="13_ncr:1_{78CB9E44-E3F4-4036-B4C1-9DA4062D0A9D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REVENUE" sheetId="2" r:id="rId1"/>
    <sheet name="EXPENSES" sheetId="3" r:id="rId2"/>
    <sheet name="FIN. REPORT" sheetId="5" r:id="rId3"/>
    <sheet name="MAINTENANCE-OFFICE SUPPLIES" sheetId="7" r:id="rId4"/>
    <sheet name="MEDICATIONS" sheetId="8" r:id="rId5"/>
    <sheet name="SUMMARY" sheetId="11" r:id="rId6"/>
    <sheet name="EZINNE LAB" sheetId="13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F7" i="11"/>
  <c r="F13" i="11"/>
  <c r="E18" i="8"/>
  <c r="E12" i="8"/>
  <c r="E22" i="7"/>
  <c r="E13" i="7"/>
  <c r="C25" i="5"/>
  <c r="B14" i="5"/>
  <c r="B13" i="5"/>
  <c r="B12" i="5"/>
  <c r="I10" i="5"/>
  <c r="B7" i="5"/>
  <c r="B6" i="5"/>
  <c r="C9" i="5" s="1"/>
  <c r="C4" i="5"/>
  <c r="E38" i="3"/>
  <c r="H53" i="2"/>
  <c r="H54" i="2" s="1"/>
  <c r="H56" i="2" s="1"/>
  <c r="B47" i="2"/>
  <c r="B41" i="2"/>
  <c r="J35" i="2"/>
  <c r="H35" i="2"/>
  <c r="D35" i="2"/>
  <c r="C35" i="2"/>
  <c r="M34" i="2"/>
  <c r="L33" i="2"/>
  <c r="G33" i="2"/>
  <c r="E33" i="2"/>
  <c r="B33" i="2"/>
  <c r="G32" i="2"/>
  <c r="E32" i="2"/>
  <c r="B32" i="2"/>
  <c r="G31" i="2"/>
  <c r="B31" i="2"/>
  <c r="M31" i="2" s="1"/>
  <c r="G30" i="2"/>
  <c r="B30" i="2"/>
  <c r="I29" i="2"/>
  <c r="I35" i="2" s="1"/>
  <c r="G29" i="2"/>
  <c r="F29" i="2"/>
  <c r="B29" i="2"/>
  <c r="L28" i="2"/>
  <c r="G28" i="2"/>
  <c r="E28" i="2"/>
  <c r="B28" i="2"/>
  <c r="G27" i="2"/>
  <c r="E27" i="2"/>
  <c r="M27" i="2" s="1"/>
  <c r="B27" i="2"/>
  <c r="G26" i="2"/>
  <c r="F26" i="2"/>
  <c r="E26" i="2"/>
  <c r="B26" i="2"/>
  <c r="M26" i="2" s="1"/>
  <c r="G25" i="2"/>
  <c r="B25" i="2"/>
  <c r="M25" i="2" s="1"/>
  <c r="B24" i="2"/>
  <c r="M24" i="2" s="1"/>
  <c r="G23" i="2"/>
  <c r="F23" i="2"/>
  <c r="B23" i="2"/>
  <c r="G22" i="2"/>
  <c r="B22" i="2"/>
  <c r="M22" i="2" s="1"/>
  <c r="G21" i="2"/>
  <c r="B21" i="2"/>
  <c r="M21" i="2" s="1"/>
  <c r="L20" i="2"/>
  <c r="G20" i="2"/>
  <c r="G19" i="2"/>
  <c r="B19" i="2"/>
  <c r="G18" i="2"/>
  <c r="B18" i="2"/>
  <c r="M18" i="2" s="1"/>
  <c r="G17" i="2"/>
  <c r="B17" i="2"/>
  <c r="M17" i="2" s="1"/>
  <c r="G16" i="2"/>
  <c r="B16" i="2"/>
  <c r="L15" i="2"/>
  <c r="G15" i="2"/>
  <c r="B15" i="2"/>
  <c r="G14" i="2"/>
  <c r="E14" i="2"/>
  <c r="B14" i="2"/>
  <c r="L13" i="2"/>
  <c r="L35" i="2" s="1"/>
  <c r="G13" i="2"/>
  <c r="F13" i="2"/>
  <c r="E13" i="2"/>
  <c r="B13" i="2"/>
  <c r="G12" i="2"/>
  <c r="F12" i="2"/>
  <c r="E12" i="2"/>
  <c r="B12" i="2"/>
  <c r="G11" i="2"/>
  <c r="E11" i="2"/>
  <c r="B11" i="2"/>
  <c r="G10" i="2"/>
  <c r="F10" i="2"/>
  <c r="E10" i="2"/>
  <c r="B10" i="2"/>
  <c r="K9" i="2"/>
  <c r="K35" i="2" s="1"/>
  <c r="G9" i="2"/>
  <c r="E9" i="2"/>
  <c r="B9" i="2"/>
  <c r="G8" i="2"/>
  <c r="E8" i="2"/>
  <c r="M8" i="2" s="1"/>
  <c r="B8" i="2"/>
  <c r="G7" i="2"/>
  <c r="E7" i="2"/>
  <c r="M7" i="2" s="1"/>
  <c r="B7" i="2"/>
  <c r="G6" i="2"/>
  <c r="F6" i="2"/>
  <c r="E6" i="2"/>
  <c r="B6" i="2"/>
  <c r="M6" i="2" s="1"/>
  <c r="G5" i="2"/>
  <c r="E5" i="2"/>
  <c r="B5" i="2"/>
  <c r="M5" i="2" s="1"/>
  <c r="G4" i="2"/>
  <c r="B4" i="2"/>
  <c r="H25" i="13"/>
  <c r="M13" i="2" l="1"/>
  <c r="C16" i="5"/>
  <c r="F35" i="2"/>
  <c r="M9" i="2"/>
  <c r="M15" i="2"/>
  <c r="M19" i="2"/>
  <c r="M23" i="2"/>
  <c r="M4" i="2"/>
  <c r="M35" i="2" s="1"/>
  <c r="M11" i="2"/>
  <c r="M29" i="2"/>
  <c r="M32" i="2"/>
  <c r="G35" i="2"/>
  <c r="M16" i="2"/>
  <c r="M20" i="2"/>
  <c r="C10" i="5"/>
  <c r="C17" i="5" s="1"/>
  <c r="C26" i="5" s="1"/>
  <c r="M12" i="2"/>
  <c r="M33" i="2"/>
  <c r="E35" i="2"/>
  <c r="M10" i="2"/>
  <c r="M14" i="2"/>
  <c r="M28" i="2"/>
  <c r="M30" i="2"/>
  <c r="H42" i="2"/>
  <c r="C4" i="13"/>
  <c r="B35" i="2"/>
  <c r="C25" i="13"/>
  <c r="H15" i="13"/>
  <c r="H18" i="13" s="1"/>
  <c r="C16" i="13"/>
  <c r="I12" i="13"/>
  <c r="H8" i="13"/>
  <c r="C9" i="13"/>
  <c r="F6" i="11"/>
  <c r="F4" i="11"/>
  <c r="F3" i="11"/>
  <c r="D47" i="2" l="1"/>
  <c r="D44" i="2"/>
  <c r="D40" i="2"/>
  <c r="D42" i="2"/>
  <c r="H44" i="2"/>
  <c r="H45" i="2" s="1"/>
  <c r="H47" i="2" s="1"/>
  <c r="J56" i="2" s="1"/>
  <c r="D38" i="2"/>
  <c r="F12" i="11"/>
  <c r="D39" i="2"/>
  <c r="D48" i="2"/>
  <c r="D46" i="2"/>
  <c r="D45" i="2"/>
  <c r="D43" i="2"/>
  <c r="D41" i="2"/>
  <c r="F5" i="11"/>
  <c r="C10" i="13"/>
  <c r="C17" i="13" s="1"/>
  <c r="C26" i="13" s="1"/>
  <c r="D49" i="2" l="1"/>
</calcChain>
</file>

<file path=xl/sharedStrings.xml><?xml version="1.0" encoding="utf-8"?>
<sst xmlns="http://schemas.openxmlformats.org/spreadsheetml/2006/main" count="246" uniqueCount="113">
  <si>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</si>
  <si>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</si>
  <si>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</si>
  <si>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</si>
  <si>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</si>
  <si>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</si>
  <si>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</si>
  <si>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</si>
  <si>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</si>
  <si>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</si>
  <si>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</si>
  <si>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</si>
  <si>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</si>
  <si>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</si>
  <si>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</si>
  <si>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</si>
  <si>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</si>
  <si>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</si>
  <si>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</si>
  <si>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</si>
  <si>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</si>
  <si>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</si>
  <si>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</si>
  <si>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</si>
  <si>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</si>
  <si>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</si>
  <si>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</si>
  <si>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</si>
  <si>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</si>
  <si>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</si>
  <si>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</si>
  <si>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</si>
  <si>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</si>
  <si>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</si>
  <si>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</si>
  <si>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</si>
  <si>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</si>
  <si>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>DEMENTIA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</si>
  <si>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</si>
  <si>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</si>
  <si>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</si>
  <si>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</si>
  <si>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</si>
  <si>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</si>
  <si>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</si>
  <si>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PSYCHIATRICS</t>
  </si>
  <si>
    <t>BLOOMS SCHOLARS</t>
  </si>
  <si>
    <t>STORE PURCHASE: MEDICINE</t>
  </si>
  <si>
    <t>DE BLESSED MEKUS</t>
  </si>
  <si>
    <t>BLOOMS</t>
  </si>
  <si>
    <t>TOTAL AMOUNT</t>
  </si>
  <si>
    <t>BAL. B/F</t>
  </si>
  <si>
    <t>OTHER POINTS TO NOTE</t>
  </si>
  <si>
    <t>AMOUNT IN SEPTEMBER</t>
  </si>
  <si>
    <t>AMOUNT IN OCTOBER</t>
  </si>
  <si>
    <t>OPENING STOCK OF SEPT</t>
  </si>
  <si>
    <t>TOTAL INVESTMENT</t>
  </si>
  <si>
    <t>REVENUE FOR SEPT</t>
  </si>
  <si>
    <t>REVENUE FOR OCT</t>
  </si>
  <si>
    <t>TOTAL REVENUE</t>
  </si>
  <si>
    <t>SALARY FOR SEPT/OCT</t>
  </si>
  <si>
    <t>TOTAL INVESTMENT&amp; SALARY</t>
  </si>
  <si>
    <t>LESS TOTAL REVENUE</t>
  </si>
  <si>
    <t>EKWUEME</t>
  </si>
  <si>
    <t>ELBE PHARMA NIG LTD</t>
  </si>
  <si>
    <t xml:space="preserve"> Stock @ 1/3/2024</t>
  </si>
  <si>
    <t>Less STOCK AS AT 31/3/2024</t>
  </si>
  <si>
    <t>REVENUE ASSURANCE REPORT FOR APRIL 2024</t>
  </si>
  <si>
    <t>13/4/2024</t>
  </si>
  <si>
    <t>14/4/2024</t>
  </si>
  <si>
    <t>15/5/2024</t>
  </si>
  <si>
    <t>16/5/2024</t>
  </si>
  <si>
    <t>17/5/2024</t>
  </si>
  <si>
    <t>18/5/2024</t>
  </si>
  <si>
    <t>19/5/2024</t>
  </si>
  <si>
    <t>20/5/2024</t>
  </si>
  <si>
    <t>21/5/2024</t>
  </si>
  <si>
    <t>22/5/2024</t>
  </si>
  <si>
    <t>23/4/2024</t>
  </si>
  <si>
    <t>24/4/2024</t>
  </si>
  <si>
    <t>25/4/2024</t>
  </si>
  <si>
    <t>26/4/2024</t>
  </si>
  <si>
    <t>27/4/2024</t>
  </si>
  <si>
    <t>28/4/2024</t>
  </si>
  <si>
    <t>29/4/2024</t>
  </si>
  <si>
    <t>30/4/2024</t>
  </si>
  <si>
    <t>FUEL</t>
  </si>
  <si>
    <t>ENGINE OIL</t>
  </si>
  <si>
    <t>STORE PURCHASE:MEDICINE</t>
  </si>
  <si>
    <t>WEED CONTROL</t>
  </si>
  <si>
    <t>RICHARD MED</t>
  </si>
  <si>
    <t>16/4/2024</t>
  </si>
  <si>
    <t>OFFICE SUPPLY:6 MOP STICK @ N1000, 1CTN OF OMO @ N7000, 1CTN OF HYPO @ N7,700</t>
  </si>
  <si>
    <t>STORE PURCHASE: SYRINGS &amp;NEEDLE</t>
  </si>
  <si>
    <t>TRANSPORT FOR PURCHASE</t>
  </si>
  <si>
    <t>2 PCS OF 25 LTRS @ N4000</t>
  </si>
  <si>
    <t>18/4/2024</t>
  </si>
  <si>
    <t>TRANSPORT FOR DISTILLED WATER</t>
  </si>
  <si>
    <t>SUCCESSLINK SURGICAL</t>
  </si>
  <si>
    <t>OFFICE SUPPLY: TOUCH 7000,PEN 700,TICKNOTE @ N3000.</t>
  </si>
  <si>
    <t>REPAIR OF LOCKS</t>
  </si>
  <si>
    <t>DEPOSIT FOR PRODUCTION OF FOLDERS</t>
  </si>
  <si>
    <t>STATEMENT OF FINANCIAL PERFORMANCE FOR THE MONTH ENDED 30/04/2024</t>
  </si>
  <si>
    <t xml:space="preserve"> Stock @ 1/04/2024</t>
  </si>
  <si>
    <t>Less STOCK AS AT 30/04/2024</t>
  </si>
  <si>
    <t>TOTAL CASH FOR THE MONTH OF APRIL, 2024</t>
  </si>
  <si>
    <t xml:space="preserve">WE STILL HAVE STOCK (MEDICATION) VALUED N2,975,185 AT COST PRICE. </t>
  </si>
  <si>
    <t>CASH RECEIVED  IS N1,236,150</t>
  </si>
  <si>
    <t>CASH TRANSFERS N864,450</t>
  </si>
  <si>
    <t>WE OWE A DEBT OF N73,500</t>
  </si>
  <si>
    <t>CASH EARNED THROUGH INDEGENT,DELIVERY SUBSIDY, DEMENTIA AND BLOOM SCHOLARS N160,600</t>
  </si>
  <si>
    <t>MAR. BALANCE</t>
  </si>
  <si>
    <t>LESS APRIL.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</si>
</sst>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3" fillId="0" borderId="3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4" xfId="0" applyFont="1" applyBorder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1" fillId="0" borderId="5" xfId="0" applyFont="1" applyBorder="1" applyAlignment="1">
      <alignment horizontal="right"/>
    </xf>
    <xf numFmtId="164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6" xfId="0" applyFill="1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IU-NA%20MEDICAL%20COMPLEX%20MONTHLY%20REPORT%20FOR%20APRIL%202024%20%20TEMP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REVENUE"/>
      <sheetName val="IMPREST"/>
      <sheetName val="EXPENSE GROUPING"/>
      <sheetName val="FIN. REPORT"/>
      <sheetName val="Sheet3"/>
      <sheetName val="MAINTENANCE-OFFICE SUPPLIES"/>
      <sheetName val="MEDICATIONS"/>
      <sheetName val="Sheet1"/>
      <sheetName val="CLOSING STOCK"/>
      <sheetName val="Sheet2"/>
    </sheetNames>
    <sheetDataSet>
      <sheetData sheetId="0"/>
      <sheetData sheetId="1">
        <row r="35">
          <cell r="M35">
            <v>2100600</v>
          </cell>
        </row>
      </sheetData>
      <sheetData sheetId="2">
        <row r="38">
          <cell r="E38">
            <v>1329650</v>
          </cell>
        </row>
      </sheetData>
      <sheetData sheetId="3"/>
      <sheetData sheetId="4"/>
      <sheetData sheetId="5"/>
      <sheetData sheetId="6">
        <row r="13">
          <cell r="E13">
            <v>116900</v>
          </cell>
        </row>
        <row r="22">
          <cell r="E22">
            <v>90500</v>
          </cell>
        </row>
      </sheetData>
      <sheetData sheetId="7">
        <row r="12">
          <cell r="E12">
            <v>1102550</v>
          </cell>
        </row>
        <row r="18">
          <cell r="E18">
            <v>19700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opLeftCell="A43" workbookViewId="0">
      <selection activeCell="M60" sqref="M60"/>
    </sheetView>
  </sheetViews>
  <sheetFormatPr defaultColWidth="9.109375" defaultRowHeight="15.6" x14ac:dyDescent="0.3"/>
  <cols>
    <col min="1" max="1" width="11.6640625" style="13" customWidth="1"/>
    <col min="2" max="2" width="10.33203125" style="1" customWidth="1"/>
    <col min="3" max="3" width="12.33203125" style="1" customWidth="1"/>
    <col min="4" max="4" width="29" style="1" bestFit="1" customWidth="1"/>
    <col min="5" max="5" width="7.6640625" style="1" bestFit="1" customWidth="1"/>
    <col min="6" max="6" width="9.5546875" style="1" bestFit="1" customWidth="1"/>
    <col min="7" max="7" width="9.6640625" style="1" bestFit="1" customWidth="1"/>
    <col min="8" max="8" width="9.77734375" style="1" bestFit="1" customWidth="1"/>
    <col min="9" max="9" width="9.109375" style="1"/>
    <col min="10" max="10" width="8.33203125" style="1" bestFit="1" customWidth="1"/>
    <col min="11" max="11" width="10.77734375" style="1" bestFit="1" customWidth="1"/>
    <col min="12" max="12" width="10.21875" style="1" bestFit="1" customWidth="1"/>
    <col min="13" max="13" width="8.77734375" style="1" bestFit="1" customWidth="1"/>
    <col min="14" max="16384" width="9.109375" style="1"/>
  </cols>
  <sheetData>
    <row r="1" spans="1:14" s="10" customFormat="1" ht="17.25" customHeight="1" x14ac:dyDescent="0.3">
      <c r="A1" s="37" t="s">
        <v>67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s="10" customForma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s="10" customFormat="1" x14ac:dyDescent="0.3">
      <c r="A3" s="11" t="s">
        <v>1</v>
      </c>
      <c r="B3" s="10" t="s">
        <v>2</v>
      </c>
      <c r="C3" s="10" t="s">
        <v>39</v>
      </c>
      <c r="D3" s="10" t="s">
        <v>34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38</v>
      </c>
      <c r="K3" s="10" t="s">
        <v>43</v>
      </c>
      <c r="L3" s="10" t="s">
        <v>8</v>
      </c>
      <c r="M3" s="10" t="s">
        <v>9</v>
      </c>
    </row>
    <row r="4" spans="1:14" x14ac:dyDescent="0.3">
      <c r="A4" s="12">
        <v>45295</v>
      </c>
      <c r="B4" s="1">
        <f>1300+1300</f>
        <v>2600</v>
      </c>
      <c r="G4" s="1">
        <f>7500+5000+8200+1000+20000+22600</f>
        <v>64300</v>
      </c>
      <c r="M4" s="1">
        <f>B4+C4+D4+E4+F4+G4+H4+I4+J4+K4+L4</f>
        <v>66900</v>
      </c>
    </row>
    <row r="5" spans="1:14" x14ac:dyDescent="0.3">
      <c r="A5" s="12">
        <v>45326</v>
      </c>
      <c r="B5" s="1">
        <f>1300+1300+2600+1500+1500+1500+1500+3500</f>
        <v>14700</v>
      </c>
      <c r="E5" s="1">
        <f>1000+9000</f>
        <v>10000</v>
      </c>
      <c r="G5" s="1">
        <f>8500+6000+2500+7200+4000+7100+9500+4500+5000+13200</f>
        <v>67500</v>
      </c>
      <c r="L5" s="1">
        <v>1000</v>
      </c>
      <c r="M5" s="1">
        <f t="shared" ref="M5:M34" si="0">B5+C5+D5+E5+F5+G5+H5+I5+J5+K5+L5</f>
        <v>93200</v>
      </c>
    </row>
    <row r="6" spans="1:14" x14ac:dyDescent="0.3">
      <c r="A6" s="12">
        <v>45355</v>
      </c>
      <c r="B6" s="1">
        <f>1500+1500+1300+2600</f>
        <v>6900</v>
      </c>
      <c r="E6" s="1">
        <f>5000</f>
        <v>5000</v>
      </c>
      <c r="F6" s="1">
        <f>10000</f>
        <v>10000</v>
      </c>
      <c r="G6" s="1">
        <f>40000+10000+11500+4700+6000</f>
        <v>72200</v>
      </c>
      <c r="M6" s="1">
        <f t="shared" si="0"/>
        <v>94100</v>
      </c>
    </row>
    <row r="7" spans="1:14" x14ac:dyDescent="0.3">
      <c r="A7" s="12">
        <v>45386</v>
      </c>
      <c r="B7" s="1">
        <f>1300+1300+2600+2600+1500</f>
        <v>9300</v>
      </c>
      <c r="E7" s="1">
        <f>1000+6500+1000</f>
        <v>8500</v>
      </c>
      <c r="G7" s="1">
        <f>2000+500+6500+8500+3200+15400+3000+12000+19000+2000+5000+10000+7200+10000</f>
        <v>104300</v>
      </c>
      <c r="M7" s="1">
        <f t="shared" si="0"/>
        <v>122100</v>
      </c>
    </row>
    <row r="8" spans="1:14" x14ac:dyDescent="0.3">
      <c r="A8" s="12">
        <v>45416</v>
      </c>
      <c r="B8" s="1">
        <f>1500+1500+1500+1500+3500</f>
        <v>9500</v>
      </c>
      <c r="E8" s="1">
        <f>5000+1000+3500</f>
        <v>9500</v>
      </c>
      <c r="G8" s="1">
        <f>20000+4400+10000+5000+18500+17500+2000</f>
        <v>77400</v>
      </c>
      <c r="L8" s="1">
        <v>1000</v>
      </c>
      <c r="M8" s="1">
        <f t="shared" si="0"/>
        <v>97400</v>
      </c>
    </row>
    <row r="9" spans="1:14" x14ac:dyDescent="0.3">
      <c r="A9" s="12">
        <v>45447</v>
      </c>
      <c r="B9" s="1">
        <f>1500+1500+1500+1500+1500+1500+1500</f>
        <v>10500</v>
      </c>
      <c r="E9" s="1">
        <f>5000</f>
        <v>5000</v>
      </c>
      <c r="G9" s="1">
        <f>3700+5300+4200+1000+2000+1500+3000</f>
        <v>20700</v>
      </c>
      <c r="K9" s="1">
        <f>3000</f>
        <v>3000</v>
      </c>
      <c r="M9" s="1">
        <f t="shared" si="0"/>
        <v>39200</v>
      </c>
    </row>
    <row r="10" spans="1:14" x14ac:dyDescent="0.3">
      <c r="A10" s="12">
        <v>45477</v>
      </c>
      <c r="B10" s="1">
        <f>1500</f>
        <v>1500</v>
      </c>
      <c r="E10" s="1">
        <f>1000</f>
        <v>1000</v>
      </c>
      <c r="F10" s="1">
        <f>10000</f>
        <v>10000</v>
      </c>
      <c r="G10" s="1">
        <f>20000+1000+16500+23000+2500</f>
        <v>63000</v>
      </c>
      <c r="M10" s="1">
        <f t="shared" si="0"/>
        <v>75500</v>
      </c>
    </row>
    <row r="11" spans="1:14" x14ac:dyDescent="0.3">
      <c r="A11" s="12">
        <v>45508</v>
      </c>
      <c r="B11" s="1">
        <f>1300+1300+1300</f>
        <v>3900</v>
      </c>
      <c r="E11" s="1">
        <f>19000</f>
        <v>19000</v>
      </c>
      <c r="G11" s="1">
        <f>7200+4000+3200+4000+30000+10000+4000+4500</f>
        <v>66900</v>
      </c>
      <c r="M11" s="1">
        <f t="shared" si="0"/>
        <v>89800</v>
      </c>
    </row>
    <row r="12" spans="1:14" x14ac:dyDescent="0.3">
      <c r="A12" s="12">
        <v>45539</v>
      </c>
      <c r="B12" s="1">
        <f>1300+2600+1500</f>
        <v>5400</v>
      </c>
      <c r="E12" s="1">
        <f>4000</f>
        <v>4000</v>
      </c>
      <c r="F12" s="1">
        <f>10000</f>
        <v>10000</v>
      </c>
      <c r="G12" s="1">
        <f>8500+1000+2500+3000+5000+6550+50000+16000+12000</f>
        <v>104550</v>
      </c>
      <c r="H12" s="1">
        <v>15000</v>
      </c>
      <c r="M12" s="1">
        <f t="shared" si="0"/>
        <v>138950</v>
      </c>
    </row>
    <row r="13" spans="1:14" x14ac:dyDescent="0.3">
      <c r="A13" s="12">
        <v>45569</v>
      </c>
      <c r="B13" s="1">
        <f>1300+1300+3000</f>
        <v>5600</v>
      </c>
      <c r="E13" s="1">
        <f>9500</f>
        <v>9500</v>
      </c>
      <c r="F13" s="1">
        <f>10000</f>
        <v>10000</v>
      </c>
      <c r="G13" s="1">
        <f>10000+1800+50000</f>
        <v>61800</v>
      </c>
      <c r="L13" s="1">
        <f>1000</f>
        <v>1000</v>
      </c>
      <c r="M13" s="1">
        <f t="shared" si="0"/>
        <v>87900</v>
      </c>
    </row>
    <row r="14" spans="1:14" x14ac:dyDescent="0.3">
      <c r="A14" s="12">
        <v>45600</v>
      </c>
      <c r="B14" s="1">
        <f>1300+1300+2600</f>
        <v>5200</v>
      </c>
      <c r="E14" s="1">
        <f>4500+3000+2500</f>
        <v>10000</v>
      </c>
      <c r="G14" s="1">
        <f>8100+23500+7000+15300+11700+3000</f>
        <v>68600</v>
      </c>
      <c r="M14" s="1">
        <f t="shared" si="0"/>
        <v>83800</v>
      </c>
    </row>
    <row r="15" spans="1:14" x14ac:dyDescent="0.3">
      <c r="A15" s="12">
        <v>45630</v>
      </c>
      <c r="B15" s="1">
        <f>1500+1500</f>
        <v>3000</v>
      </c>
      <c r="G15" s="1">
        <f>2500+15000+2000+17000</f>
        <v>36500</v>
      </c>
      <c r="L15" s="1">
        <f>2000</f>
        <v>2000</v>
      </c>
      <c r="M15" s="1">
        <f t="shared" si="0"/>
        <v>41500</v>
      </c>
    </row>
    <row r="16" spans="1:14" x14ac:dyDescent="0.3">
      <c r="A16" s="12" t="s">
        <v>68</v>
      </c>
      <c r="B16" s="1">
        <f>1500+1500+3000+6000+1500+1500</f>
        <v>15000</v>
      </c>
      <c r="G16" s="1">
        <f>9000+10000+10500+9250+4200+2000</f>
        <v>44950</v>
      </c>
      <c r="M16" s="1">
        <f t="shared" si="0"/>
        <v>59950</v>
      </c>
    </row>
    <row r="17" spans="1:13" x14ac:dyDescent="0.3">
      <c r="A17" s="12" t="s">
        <v>69</v>
      </c>
      <c r="B17" s="1">
        <f>1500+1500</f>
        <v>3000</v>
      </c>
      <c r="G17" s="1">
        <f>2850+13200+33600+15450+9200</f>
        <v>74300</v>
      </c>
      <c r="L17" s="1">
        <v>1000</v>
      </c>
      <c r="M17" s="1">
        <f t="shared" si="0"/>
        <v>78300</v>
      </c>
    </row>
    <row r="18" spans="1:13" x14ac:dyDescent="0.3">
      <c r="A18" s="12" t="s">
        <v>70</v>
      </c>
      <c r="B18" s="1">
        <f>1300+1300+1300</f>
        <v>3900</v>
      </c>
      <c r="G18" s="1">
        <f>4700+11100</f>
        <v>15800</v>
      </c>
      <c r="M18" s="1">
        <f t="shared" si="0"/>
        <v>19700</v>
      </c>
    </row>
    <row r="19" spans="1:13" x14ac:dyDescent="0.3">
      <c r="A19" s="12" t="s">
        <v>71</v>
      </c>
      <c r="B19" s="1">
        <f>1300+3000+3000</f>
        <v>7300</v>
      </c>
      <c r="E19" s="1">
        <v>5000</v>
      </c>
      <c r="G19" s="1">
        <f>700+10000</f>
        <v>10700</v>
      </c>
      <c r="L19" s="1">
        <v>1000</v>
      </c>
      <c r="M19" s="1">
        <f t="shared" si="0"/>
        <v>24000</v>
      </c>
    </row>
    <row r="20" spans="1:13" x14ac:dyDescent="0.3">
      <c r="A20" s="12" t="s">
        <v>72</v>
      </c>
      <c r="G20" s="1">
        <f>2700+2000</f>
        <v>4700</v>
      </c>
      <c r="L20" s="1">
        <f>1000</f>
        <v>1000</v>
      </c>
      <c r="M20" s="1">
        <f t="shared" si="0"/>
        <v>5700</v>
      </c>
    </row>
    <row r="21" spans="1:13" x14ac:dyDescent="0.3">
      <c r="A21" s="13" t="s">
        <v>73</v>
      </c>
      <c r="B21" s="1">
        <f>1300+1300+1300+1500+1500</f>
        <v>6900</v>
      </c>
      <c r="E21" s="1">
        <v>15000</v>
      </c>
      <c r="G21" s="1">
        <f>4200+4800+7500+7800+2000+200+4500+2500</f>
        <v>33500</v>
      </c>
      <c r="M21" s="1">
        <f t="shared" si="0"/>
        <v>55400</v>
      </c>
    </row>
    <row r="22" spans="1:13" x14ac:dyDescent="0.3">
      <c r="A22" s="13" t="s">
        <v>74</v>
      </c>
      <c r="B22" s="1">
        <f>1300+3000</f>
        <v>4300</v>
      </c>
      <c r="G22" s="1">
        <f>31400+16000+5200+1000+8300+22000+10000</f>
        <v>93900</v>
      </c>
      <c r="H22" s="1">
        <v>27000</v>
      </c>
      <c r="M22" s="1">
        <f t="shared" si="0"/>
        <v>125200</v>
      </c>
    </row>
    <row r="23" spans="1:13" x14ac:dyDescent="0.3">
      <c r="A23" s="13" t="s">
        <v>75</v>
      </c>
      <c r="B23" s="1">
        <f>1500+1500</f>
        <v>3000</v>
      </c>
      <c r="F23" s="1">
        <f>10000</f>
        <v>10000</v>
      </c>
      <c r="G23" s="1">
        <f>54600+12000+4500+5000+3200+2000+18500</f>
        <v>99800</v>
      </c>
      <c r="M23" s="1">
        <f t="shared" si="0"/>
        <v>112800</v>
      </c>
    </row>
    <row r="24" spans="1:13" x14ac:dyDescent="0.3">
      <c r="A24" s="13" t="s">
        <v>76</v>
      </c>
      <c r="B24" s="1">
        <f>1500</f>
        <v>1500</v>
      </c>
      <c r="M24" s="1">
        <f t="shared" si="0"/>
        <v>1500</v>
      </c>
    </row>
    <row r="25" spans="1:13" x14ac:dyDescent="0.3">
      <c r="A25" s="13" t="s">
        <v>77</v>
      </c>
      <c r="B25" s="1">
        <f>1300+1300+1500+3500</f>
        <v>7600</v>
      </c>
      <c r="G25" s="1">
        <f>4300+1500+1000+4200+700</f>
        <v>11700</v>
      </c>
      <c r="M25" s="1">
        <f t="shared" si="0"/>
        <v>19300</v>
      </c>
    </row>
    <row r="26" spans="1:13" x14ac:dyDescent="0.3">
      <c r="A26" s="13" t="s">
        <v>78</v>
      </c>
      <c r="B26" s="1">
        <f>3000+1500</f>
        <v>4500</v>
      </c>
      <c r="E26" s="1">
        <f>10500</f>
        <v>10500</v>
      </c>
      <c r="F26" s="1">
        <f>10000</f>
        <v>10000</v>
      </c>
      <c r="G26" s="1">
        <f>70600+4000+500+3300+6200+4200+500</f>
        <v>89300</v>
      </c>
      <c r="M26" s="1">
        <f t="shared" si="0"/>
        <v>114300</v>
      </c>
    </row>
    <row r="27" spans="1:13" x14ac:dyDescent="0.3">
      <c r="A27" s="13" t="s">
        <v>79</v>
      </c>
      <c r="B27" s="1">
        <f>1500+1300</f>
        <v>2800</v>
      </c>
      <c r="E27" s="1">
        <f>5000</f>
        <v>5000</v>
      </c>
      <c r="G27" s="1">
        <f>20000+18800</f>
        <v>38800</v>
      </c>
      <c r="M27" s="1">
        <f t="shared" si="0"/>
        <v>46600</v>
      </c>
    </row>
    <row r="28" spans="1:13" x14ac:dyDescent="0.3">
      <c r="A28" s="13" t="s">
        <v>80</v>
      </c>
      <c r="B28" s="1">
        <f>1300+1300</f>
        <v>2600</v>
      </c>
      <c r="E28" s="1">
        <f>6500</f>
        <v>6500</v>
      </c>
      <c r="G28" s="1">
        <f>29200</f>
        <v>29200</v>
      </c>
      <c r="L28" s="1">
        <f>1000</f>
        <v>1000</v>
      </c>
      <c r="M28" s="1">
        <f t="shared" si="0"/>
        <v>39300</v>
      </c>
    </row>
    <row r="29" spans="1:13" x14ac:dyDescent="0.3">
      <c r="A29" s="13" t="s">
        <v>81</v>
      </c>
      <c r="B29" s="1">
        <f>1300+1500+1500</f>
        <v>4300</v>
      </c>
      <c r="F29" s="1">
        <f>6000</f>
        <v>6000</v>
      </c>
      <c r="G29" s="1">
        <f>40400+10000+10000+1000</f>
        <v>61400</v>
      </c>
      <c r="I29" s="1">
        <f>33500</f>
        <v>33500</v>
      </c>
      <c r="M29" s="1">
        <f t="shared" si="0"/>
        <v>105200</v>
      </c>
    </row>
    <row r="30" spans="1:13" x14ac:dyDescent="0.3">
      <c r="A30" s="13" t="s">
        <v>82</v>
      </c>
      <c r="B30" s="1">
        <f>1500+1500+1500+1500+1500+3000</f>
        <v>10500</v>
      </c>
      <c r="G30" s="1">
        <f>16000+5000+6000+15000+21000+10000+3000+19200</f>
        <v>95200</v>
      </c>
      <c r="M30" s="1">
        <f t="shared" si="0"/>
        <v>105700</v>
      </c>
    </row>
    <row r="31" spans="1:13" x14ac:dyDescent="0.3">
      <c r="A31" s="13" t="s">
        <v>83</v>
      </c>
      <c r="B31" s="1">
        <f>1500+1500</f>
        <v>3000</v>
      </c>
      <c r="G31" s="1">
        <f>3500+5200+4000</f>
        <v>12700</v>
      </c>
      <c r="M31" s="1">
        <f t="shared" si="0"/>
        <v>15700</v>
      </c>
    </row>
    <row r="32" spans="1:13" x14ac:dyDescent="0.3">
      <c r="A32" s="13" t="s">
        <v>84</v>
      </c>
      <c r="B32" s="1">
        <f>2600+1300+1300+3000</f>
        <v>8200</v>
      </c>
      <c r="E32" s="1">
        <f>20000+13000+7000+5500</f>
        <v>45500</v>
      </c>
      <c r="G32" s="1">
        <f>4500+5300+3200+500+3200+2900+4000+1000+8300+500+6900+2800</f>
        <v>43100</v>
      </c>
      <c r="M32" s="1">
        <f t="shared" si="0"/>
        <v>96800</v>
      </c>
    </row>
    <row r="33" spans="1:13" x14ac:dyDescent="0.3">
      <c r="A33" s="13" t="s">
        <v>85</v>
      </c>
      <c r="B33" s="1">
        <f>1500+1500+1300</f>
        <v>4300</v>
      </c>
      <c r="E33" s="1">
        <f>6500</f>
        <v>6500</v>
      </c>
      <c r="G33" s="1">
        <f>3000+20000+8300+1700</f>
        <v>33000</v>
      </c>
      <c r="L33" s="1">
        <f>1000</f>
        <v>1000</v>
      </c>
      <c r="M33" s="1">
        <f t="shared" si="0"/>
        <v>44800</v>
      </c>
    </row>
    <row r="34" spans="1:13" x14ac:dyDescent="0.3">
      <c r="M34" s="1">
        <f t="shared" si="0"/>
        <v>0</v>
      </c>
    </row>
    <row r="35" spans="1:13" x14ac:dyDescent="0.3">
      <c r="B35" s="1">
        <f>SUM(B4:B34)</f>
        <v>170800</v>
      </c>
      <c r="C35" s="1">
        <f>SUM(C4:C34)</f>
        <v>0</v>
      </c>
      <c r="D35" s="1">
        <f t="shared" ref="D35:L35" si="1">SUM(D4:D34)</f>
        <v>0</v>
      </c>
      <c r="E35" s="14">
        <f t="shared" si="1"/>
        <v>175500</v>
      </c>
      <c r="F35" s="1">
        <f t="shared" si="1"/>
        <v>66000</v>
      </c>
      <c r="G35" s="14">
        <f t="shared" si="1"/>
        <v>1599800</v>
      </c>
      <c r="H35" s="14">
        <f t="shared" si="1"/>
        <v>42000</v>
      </c>
      <c r="I35" s="14">
        <f t="shared" si="1"/>
        <v>33500</v>
      </c>
      <c r="J35" s="14">
        <f t="shared" si="1"/>
        <v>0</v>
      </c>
      <c r="K35" s="29">
        <f>SUM(K4:K34)</f>
        <v>3000</v>
      </c>
      <c r="L35" s="14">
        <f t="shared" si="1"/>
        <v>10000</v>
      </c>
      <c r="M35" s="10">
        <f>SUM(M4:M34)</f>
        <v>2100600</v>
      </c>
    </row>
    <row r="37" spans="1:13" x14ac:dyDescent="0.3">
      <c r="D37" s="1" t="s">
        <v>10</v>
      </c>
    </row>
    <row r="38" spans="1:13" x14ac:dyDescent="0.3">
      <c r="B38" s="1" t="s">
        <v>2</v>
      </c>
      <c r="D38" s="1">
        <f>B35/M35*100</f>
        <v>8.1310101875654581</v>
      </c>
    </row>
    <row r="39" spans="1:13" x14ac:dyDescent="0.3">
      <c r="B39" s="1" t="s">
        <v>39</v>
      </c>
      <c r="D39" s="1">
        <f>C35/M35*100</f>
        <v>0</v>
      </c>
    </row>
    <row r="40" spans="1:13" x14ac:dyDescent="0.3">
      <c r="B40" s="1" t="s">
        <v>34</v>
      </c>
      <c r="D40" s="1">
        <f>D35/M35*100</f>
        <v>0</v>
      </c>
      <c r="H40" s="10" t="s">
        <v>14</v>
      </c>
    </row>
    <row r="41" spans="1:13" x14ac:dyDescent="0.3">
      <c r="B41" s="1" t="str">
        <f>E3</f>
        <v>LAB</v>
      </c>
      <c r="D41" s="1">
        <f>E35/M35*100</f>
        <v>8.3547557840616982</v>
      </c>
    </row>
    <row r="42" spans="1:13" x14ac:dyDescent="0.3">
      <c r="B42" s="1" t="s">
        <v>4</v>
      </c>
      <c r="D42" s="1">
        <f>F35/M35*100</f>
        <v>3.1419594401599542</v>
      </c>
      <c r="G42" s="14" t="s">
        <v>23</v>
      </c>
      <c r="H42" s="1">
        <f>E35+G35+H35+I35+L35+J35</f>
        <v>1860800</v>
      </c>
    </row>
    <row r="43" spans="1:13" x14ac:dyDescent="0.3">
      <c r="B43" s="1" t="s">
        <v>5</v>
      </c>
      <c r="D43" s="1">
        <f>G35/M35*100</f>
        <v>76.159192611634779</v>
      </c>
    </row>
    <row r="44" spans="1:13" x14ac:dyDescent="0.3">
      <c r="B44" s="1" t="s">
        <v>6</v>
      </c>
      <c r="D44" s="1">
        <f>H35/M35*100</f>
        <v>1.9994287346472437</v>
      </c>
      <c r="F44" s="1" t="s">
        <v>24</v>
      </c>
      <c r="G44" s="1" t="s">
        <v>29</v>
      </c>
      <c r="H44" s="1">
        <f>B35+F35+D35+C35+K35</f>
        <v>239800</v>
      </c>
    </row>
    <row r="45" spans="1:13" x14ac:dyDescent="0.3">
      <c r="B45" s="1" t="s">
        <v>7</v>
      </c>
      <c r="D45" s="1">
        <f>I35/M35*100</f>
        <v>1.5947824431114921</v>
      </c>
      <c r="G45" s="1" t="s">
        <v>9</v>
      </c>
      <c r="H45" s="10">
        <f>SUM(H42:H44)</f>
        <v>2100600</v>
      </c>
    </row>
    <row r="46" spans="1:13" ht="16.2" thickBot="1" x14ac:dyDescent="0.35">
      <c r="B46" s="1" t="s">
        <v>42</v>
      </c>
      <c r="D46" s="1">
        <f>J35/M35*100</f>
        <v>0</v>
      </c>
      <c r="F46" s="1" t="s">
        <v>26</v>
      </c>
      <c r="G46" s="1" t="s">
        <v>27</v>
      </c>
      <c r="H46" s="1">
        <v>161345</v>
      </c>
    </row>
    <row r="47" spans="1:13" ht="16.2" thickBot="1" x14ac:dyDescent="0.35">
      <c r="B47" s="1" t="str">
        <f>L3</f>
        <v>DRESSING</v>
      </c>
      <c r="D47" s="1">
        <f>L35/M35*100</f>
        <v>0.47605446063029611</v>
      </c>
      <c r="F47" s="1" t="s">
        <v>9</v>
      </c>
      <c r="G47" s="1" t="s">
        <v>0</v>
      </c>
      <c r="H47" s="15">
        <f>SUM(H45:H46)</f>
        <v>2261945</v>
      </c>
    </row>
    <row r="48" spans="1:13" x14ac:dyDescent="0.3">
      <c r="B48" s="1" t="s">
        <v>44</v>
      </c>
      <c r="D48" s="1">
        <f>K35/M35*100</f>
        <v>0.14281633818908884</v>
      </c>
      <c r="H48" s="10"/>
    </row>
    <row r="49" spans="2:10" x14ac:dyDescent="0.3">
      <c r="D49" s="1">
        <f>SUM(D38:D48)</f>
        <v>100.00000000000001</v>
      </c>
    </row>
    <row r="50" spans="2:10" x14ac:dyDescent="0.3">
      <c r="D50" s="1" t="s">
        <v>13</v>
      </c>
    </row>
    <row r="51" spans="2:10" x14ac:dyDescent="0.3">
      <c r="B51" s="1" t="s">
        <v>30</v>
      </c>
    </row>
    <row r="52" spans="2:10" x14ac:dyDescent="0.3">
      <c r="D52" s="1" t="s">
        <v>31</v>
      </c>
      <c r="H52" s="1">
        <v>864450</v>
      </c>
    </row>
    <row r="53" spans="2:10" x14ac:dyDescent="0.3">
      <c r="D53" s="1" t="s">
        <v>18</v>
      </c>
      <c r="H53" s="1">
        <f>[1]IMPREST!E38</f>
        <v>1329650</v>
      </c>
    </row>
    <row r="54" spans="2:10" x14ac:dyDescent="0.3">
      <c r="D54" s="1" t="s">
        <v>9</v>
      </c>
      <c r="H54" s="1">
        <f>H52+H53</f>
        <v>2194100</v>
      </c>
    </row>
    <row r="55" spans="2:10" ht="16.2" thickBot="1" x14ac:dyDescent="0.35">
      <c r="D55" s="1" t="s">
        <v>32</v>
      </c>
      <c r="H55" s="1">
        <v>67845</v>
      </c>
    </row>
    <row r="56" spans="2:10" ht="16.2" thickBot="1" x14ac:dyDescent="0.35">
      <c r="D56" s="1" t="s">
        <v>33</v>
      </c>
      <c r="H56" s="15">
        <f>H54+H55</f>
        <v>2261945</v>
      </c>
      <c r="J56" s="1">
        <f>H47-H56</f>
        <v>0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zoomScale="79" workbookViewId="0">
      <selection activeCell="J26" sqref="J26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12.5546875" customWidth="1"/>
  </cols>
  <sheetData>
    <row r="1" spans="1:6" ht="14.4" x14ac:dyDescent="0.3">
      <c r="A1" s="22" t="s">
        <v>1</v>
      </c>
      <c r="B1" s="23" t="s">
        <v>12</v>
      </c>
      <c r="C1" s="23"/>
      <c r="D1" s="22" t="s">
        <v>11</v>
      </c>
      <c r="E1" s="22" t="s">
        <v>0</v>
      </c>
      <c r="F1" s="22"/>
    </row>
    <row r="2" spans="1:6" x14ac:dyDescent="0.3">
      <c r="A2" s="12">
        <v>45508</v>
      </c>
      <c r="B2" s="26" t="s">
        <v>86</v>
      </c>
      <c r="C2" s="26"/>
      <c r="D2" s="24"/>
      <c r="E2" s="24">
        <v>38000</v>
      </c>
      <c r="F2" s="24"/>
    </row>
    <row r="3" spans="1:6" x14ac:dyDescent="0.3">
      <c r="A3" s="12">
        <v>45386</v>
      </c>
      <c r="B3" s="26" t="s">
        <v>87</v>
      </c>
      <c r="C3" s="26"/>
      <c r="D3" s="24"/>
      <c r="E3" s="24">
        <v>12000</v>
      </c>
      <c r="F3" s="24"/>
    </row>
    <row r="4" spans="1:6" x14ac:dyDescent="0.3">
      <c r="A4" s="12">
        <v>45508</v>
      </c>
      <c r="B4" s="26" t="s">
        <v>88</v>
      </c>
      <c r="C4" s="26"/>
      <c r="D4" s="24"/>
      <c r="E4" s="24">
        <v>10000</v>
      </c>
      <c r="F4" s="24"/>
    </row>
    <row r="5" spans="1:6" x14ac:dyDescent="0.3">
      <c r="A5" s="12">
        <v>45477</v>
      </c>
      <c r="B5" s="26" t="s">
        <v>89</v>
      </c>
      <c r="C5" s="26"/>
      <c r="D5" s="24"/>
      <c r="E5" s="24">
        <v>5000</v>
      </c>
      <c r="F5" s="24"/>
    </row>
    <row r="6" spans="1:6" ht="28.8" x14ac:dyDescent="0.3">
      <c r="A6" s="12">
        <v>45508</v>
      </c>
      <c r="B6" s="26" t="s">
        <v>47</v>
      </c>
      <c r="C6" s="26" t="s">
        <v>64</v>
      </c>
      <c r="D6" s="24"/>
      <c r="E6" s="24">
        <v>400000</v>
      </c>
      <c r="F6" s="24">
        <v>538500</v>
      </c>
    </row>
    <row r="7" spans="1:6" x14ac:dyDescent="0.3">
      <c r="A7" s="12" t="s">
        <v>69</v>
      </c>
      <c r="B7" s="26" t="s">
        <v>47</v>
      </c>
      <c r="C7" s="26" t="s">
        <v>90</v>
      </c>
      <c r="D7" s="24"/>
      <c r="E7" s="24">
        <v>20250</v>
      </c>
      <c r="F7" s="24"/>
    </row>
    <row r="8" spans="1:6" ht="28.8" x14ac:dyDescent="0.3">
      <c r="A8" s="12" t="s">
        <v>69</v>
      </c>
      <c r="B8" s="26" t="s">
        <v>47</v>
      </c>
      <c r="C8" s="26" t="s">
        <v>64</v>
      </c>
      <c r="D8" s="24">
        <v>745</v>
      </c>
      <c r="E8" s="24">
        <v>25000</v>
      </c>
      <c r="F8" s="24"/>
    </row>
    <row r="9" spans="1:6" ht="43.2" x14ac:dyDescent="0.3">
      <c r="A9" s="12" t="s">
        <v>91</v>
      </c>
      <c r="B9" s="26" t="s">
        <v>92</v>
      </c>
      <c r="C9" s="26"/>
      <c r="D9" s="24"/>
      <c r="E9" s="24">
        <v>20700</v>
      </c>
      <c r="F9" s="24"/>
    </row>
    <row r="10" spans="1:6" x14ac:dyDescent="0.3">
      <c r="A10" s="12" t="s">
        <v>91</v>
      </c>
      <c r="B10" s="26" t="s">
        <v>93</v>
      </c>
      <c r="C10" s="26"/>
      <c r="D10" s="24"/>
      <c r="E10" s="24">
        <v>43000</v>
      </c>
      <c r="F10" s="24"/>
    </row>
    <row r="11" spans="1:6" x14ac:dyDescent="0.3">
      <c r="A11" s="12" t="s">
        <v>91</v>
      </c>
      <c r="B11" s="26" t="s">
        <v>94</v>
      </c>
      <c r="C11" s="26"/>
      <c r="D11" s="24"/>
      <c r="E11" s="24">
        <v>2000</v>
      </c>
      <c r="F11" s="24"/>
    </row>
    <row r="12" spans="1:6" x14ac:dyDescent="0.3">
      <c r="A12" s="12" t="s">
        <v>91</v>
      </c>
      <c r="B12" s="26" t="s">
        <v>95</v>
      </c>
      <c r="C12" s="26"/>
      <c r="D12" s="24"/>
      <c r="E12" s="24">
        <v>8000</v>
      </c>
      <c r="F12" s="24"/>
    </row>
    <row r="13" spans="1:6" x14ac:dyDescent="0.3">
      <c r="A13" s="12" t="s">
        <v>96</v>
      </c>
      <c r="B13" s="26" t="s">
        <v>97</v>
      </c>
      <c r="C13" s="26"/>
      <c r="D13" s="24"/>
      <c r="E13" s="24">
        <v>9000</v>
      </c>
      <c r="F13" s="24"/>
    </row>
    <row r="14" spans="1:6" ht="28.8" x14ac:dyDescent="0.3">
      <c r="A14" s="12" t="s">
        <v>96</v>
      </c>
      <c r="B14" s="26" t="s">
        <v>47</v>
      </c>
      <c r="C14" s="26" t="s">
        <v>64</v>
      </c>
      <c r="D14" s="24">
        <v>745</v>
      </c>
      <c r="E14" s="24">
        <v>6000</v>
      </c>
      <c r="F14" s="24"/>
    </row>
    <row r="15" spans="1:6" x14ac:dyDescent="0.3">
      <c r="A15" s="12" t="s">
        <v>96</v>
      </c>
      <c r="B15" s="26" t="s">
        <v>47</v>
      </c>
      <c r="C15" s="26" t="s">
        <v>63</v>
      </c>
      <c r="D15" s="24"/>
      <c r="E15" s="24">
        <v>151000</v>
      </c>
      <c r="F15" s="24"/>
    </row>
    <row r="16" spans="1:6" x14ac:dyDescent="0.3">
      <c r="A16" s="12" t="s">
        <v>96</v>
      </c>
      <c r="B16" s="26" t="s">
        <v>94</v>
      </c>
      <c r="C16" s="26"/>
      <c r="D16" s="24"/>
      <c r="E16" s="24">
        <v>5000</v>
      </c>
      <c r="F16" s="24"/>
    </row>
    <row r="17" spans="1:6" x14ac:dyDescent="0.3">
      <c r="A17" s="12" t="s">
        <v>80</v>
      </c>
      <c r="B17" s="26" t="s">
        <v>47</v>
      </c>
      <c r="C17" s="26" t="s">
        <v>48</v>
      </c>
      <c r="D17" s="24">
        <v>2453</v>
      </c>
      <c r="E17" s="24">
        <v>151300</v>
      </c>
      <c r="F17" s="24"/>
    </row>
    <row r="18" spans="1:6" ht="28.8" x14ac:dyDescent="0.3">
      <c r="A18" s="12" t="s">
        <v>80</v>
      </c>
      <c r="B18" s="26" t="s">
        <v>47</v>
      </c>
      <c r="C18" s="26" t="s">
        <v>98</v>
      </c>
      <c r="D18" s="24">
        <v>3148</v>
      </c>
      <c r="E18" s="24">
        <v>264500</v>
      </c>
      <c r="F18" s="24"/>
    </row>
    <row r="19" spans="1:6" ht="28.8" x14ac:dyDescent="0.3">
      <c r="A19" s="12" t="s">
        <v>96</v>
      </c>
      <c r="B19" s="26" t="s">
        <v>99</v>
      </c>
      <c r="C19" s="26"/>
      <c r="D19" s="24"/>
      <c r="E19" s="24">
        <v>10700</v>
      </c>
      <c r="F19" s="24"/>
    </row>
    <row r="20" spans="1:6" x14ac:dyDescent="0.3">
      <c r="A20" s="12" t="s">
        <v>96</v>
      </c>
      <c r="B20" s="26" t="s">
        <v>21</v>
      </c>
      <c r="C20" s="26"/>
      <c r="D20" s="24"/>
      <c r="E20" s="24">
        <v>12700</v>
      </c>
      <c r="F20" s="24"/>
    </row>
    <row r="21" spans="1:6" x14ac:dyDescent="0.3">
      <c r="A21" s="12" t="s">
        <v>80</v>
      </c>
      <c r="B21" s="26" t="s">
        <v>47</v>
      </c>
      <c r="C21" s="26"/>
      <c r="D21" s="24"/>
      <c r="E21" s="24">
        <v>31500</v>
      </c>
      <c r="F21" s="24"/>
    </row>
    <row r="22" spans="1:6" x14ac:dyDescent="0.3">
      <c r="A22" s="12" t="s">
        <v>80</v>
      </c>
      <c r="B22" s="26" t="s">
        <v>86</v>
      </c>
      <c r="C22" s="26"/>
      <c r="D22" s="24"/>
      <c r="E22" s="24">
        <v>40500</v>
      </c>
      <c r="F22" s="24"/>
    </row>
    <row r="23" spans="1:6" x14ac:dyDescent="0.3">
      <c r="A23" s="12" t="s">
        <v>80</v>
      </c>
      <c r="B23" s="26" t="s">
        <v>100</v>
      </c>
      <c r="C23" s="26"/>
      <c r="D23" s="24"/>
      <c r="E23" s="24">
        <v>13500</v>
      </c>
      <c r="F23" s="24"/>
    </row>
    <row r="24" spans="1:6" x14ac:dyDescent="0.3">
      <c r="A24" s="12" t="s">
        <v>80</v>
      </c>
      <c r="B24" s="26" t="s">
        <v>101</v>
      </c>
      <c r="C24" s="26"/>
      <c r="D24" s="24"/>
      <c r="E24" s="24">
        <v>50000</v>
      </c>
      <c r="F24" s="24"/>
    </row>
    <row r="25" spans="1:6" x14ac:dyDescent="0.3">
      <c r="A25" s="12" t="s">
        <v>80</v>
      </c>
      <c r="B25" s="26"/>
      <c r="C25" s="26"/>
      <c r="D25" s="24"/>
      <c r="E25" s="24"/>
      <c r="F25" s="24"/>
    </row>
    <row r="26" spans="1:6" x14ac:dyDescent="0.3">
      <c r="A26" s="12" t="s">
        <v>80</v>
      </c>
      <c r="B26" s="26"/>
      <c r="C26" s="26"/>
      <c r="D26" s="24"/>
      <c r="E26" s="24"/>
      <c r="F26" s="24"/>
    </row>
    <row r="27" spans="1:6" x14ac:dyDescent="0.3">
      <c r="A27" s="12" t="s">
        <v>80</v>
      </c>
      <c r="B27" s="26"/>
      <c r="C27" s="26"/>
      <c r="D27" s="24"/>
      <c r="E27" s="24"/>
      <c r="F27" s="24"/>
    </row>
    <row r="28" spans="1:6" x14ac:dyDescent="0.3">
      <c r="A28" s="12" t="s">
        <v>80</v>
      </c>
      <c r="B28" s="26"/>
      <c r="C28" s="26"/>
      <c r="D28" s="24"/>
      <c r="E28" s="24"/>
      <c r="F28" s="24"/>
    </row>
    <row r="29" spans="1:6" x14ac:dyDescent="0.3">
      <c r="A29" s="12" t="s">
        <v>80</v>
      </c>
      <c r="B29" s="26"/>
      <c r="C29" s="26"/>
      <c r="D29" s="24"/>
      <c r="E29" s="24"/>
      <c r="F29" s="24"/>
    </row>
    <row r="30" spans="1:6" x14ac:dyDescent="0.3">
      <c r="A30" s="12" t="s">
        <v>80</v>
      </c>
      <c r="B30" s="26"/>
      <c r="C30" s="26"/>
      <c r="D30" s="24"/>
      <c r="E30" s="24"/>
      <c r="F30" s="24"/>
    </row>
    <row r="31" spans="1:6" x14ac:dyDescent="0.3">
      <c r="A31" s="12" t="s">
        <v>80</v>
      </c>
      <c r="B31" s="26"/>
      <c r="C31" s="26"/>
      <c r="D31" s="24"/>
      <c r="E31" s="24"/>
      <c r="F31" s="24"/>
    </row>
    <row r="32" spans="1:6" x14ac:dyDescent="0.3">
      <c r="A32" s="12" t="s">
        <v>80</v>
      </c>
      <c r="B32" s="26"/>
      <c r="C32" s="26"/>
      <c r="D32" s="24"/>
      <c r="E32" s="24"/>
      <c r="F32" s="24"/>
    </row>
    <row r="33" spans="1:6" x14ac:dyDescent="0.3">
      <c r="A33" s="12" t="s">
        <v>80</v>
      </c>
      <c r="B33" s="26"/>
      <c r="C33" s="26"/>
      <c r="D33" s="24"/>
      <c r="E33" s="24"/>
      <c r="F33" s="24"/>
    </row>
    <row r="34" spans="1:6" x14ac:dyDescent="0.3">
      <c r="A34" s="12" t="s">
        <v>80</v>
      </c>
      <c r="B34" s="26"/>
      <c r="C34" s="26"/>
      <c r="D34" s="24"/>
      <c r="E34" s="24"/>
      <c r="F34" s="24"/>
    </row>
    <row r="35" spans="1:6" x14ac:dyDescent="0.3">
      <c r="A35" s="12">
        <v>45020</v>
      </c>
      <c r="B35" s="26"/>
      <c r="C35" s="26"/>
      <c r="D35" s="24"/>
      <c r="E35" s="24"/>
      <c r="F35" s="24"/>
    </row>
    <row r="36" spans="1:6" x14ac:dyDescent="0.3">
      <c r="A36" s="27"/>
      <c r="B36" s="23"/>
      <c r="C36" s="23"/>
      <c r="D36" s="22"/>
      <c r="E36" s="22"/>
      <c r="F36" s="22"/>
    </row>
    <row r="37" spans="1:6" x14ac:dyDescent="0.3">
      <c r="A37" s="27"/>
      <c r="B37" s="23"/>
      <c r="C37" s="23"/>
      <c r="D37" s="22"/>
      <c r="E37" s="22"/>
      <c r="F37" s="22"/>
    </row>
    <row r="38" spans="1:6" x14ac:dyDescent="0.3">
      <c r="A38" s="27"/>
      <c r="B38" s="23"/>
      <c r="C38" s="23"/>
      <c r="D38" s="22"/>
      <c r="E38" s="22">
        <f>SUM(E2:E37)</f>
        <v>1329650</v>
      </c>
      <c r="F38" s="22"/>
    </row>
    <row r="39" spans="1:6" x14ac:dyDescent="0.3">
      <c r="A39" s="27"/>
      <c r="B39" s="23"/>
      <c r="C39" s="23"/>
      <c r="D39" s="22"/>
      <c r="E39" s="22"/>
      <c r="F39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zoomScale="85" zoomScaleNormal="85" workbookViewId="0">
      <selection activeCell="F18" sqref="F18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7" width="13.33203125" bestFit="1" customWidth="1"/>
    <col min="9" max="9" width="13.33203125" bestFit="1" customWidth="1"/>
  </cols>
  <sheetData>
    <row r="2" spans="1:9" ht="18" x14ac:dyDescent="0.35">
      <c r="A2" s="9" t="s">
        <v>102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[1]REVENUE!M35</f>
        <v>2100600</v>
      </c>
    </row>
    <row r="5" spans="1:9" x14ac:dyDescent="0.3">
      <c r="A5" t="s">
        <v>103</v>
      </c>
      <c r="B5" s="4">
        <v>2424855</v>
      </c>
      <c r="C5" s="8"/>
    </row>
    <row r="6" spans="1:9" x14ac:dyDescent="0.3">
      <c r="A6" t="s">
        <v>28</v>
      </c>
      <c r="B6" s="4">
        <f>[1]MEDICATIONS!E12</f>
        <v>1102550</v>
      </c>
    </row>
    <row r="7" spans="1:9" x14ac:dyDescent="0.3">
      <c r="A7" t="s">
        <v>15</v>
      </c>
      <c r="B7" s="4">
        <f>[1]MEDICATIONS!E18</f>
        <v>19700</v>
      </c>
      <c r="F7" s="4"/>
      <c r="G7" s="4"/>
    </row>
    <row r="8" spans="1:9" x14ac:dyDescent="0.3">
      <c r="A8" t="s">
        <v>104</v>
      </c>
      <c r="B8" s="4">
        <v>2975185</v>
      </c>
      <c r="F8" s="28"/>
      <c r="G8" s="4"/>
    </row>
    <row r="9" spans="1:9" ht="15" thickBot="1" x14ac:dyDescent="0.35">
      <c r="A9" t="s">
        <v>16</v>
      </c>
      <c r="C9" s="4">
        <f>B5+B6+B7-B8</f>
        <v>571920</v>
      </c>
      <c r="E9" s="28"/>
      <c r="F9" s="28"/>
      <c r="I9" s="28"/>
    </row>
    <row r="10" spans="1:9" ht="15" thickBot="1" x14ac:dyDescent="0.35">
      <c r="A10" s="5" t="s">
        <v>17</v>
      </c>
      <c r="B10" s="6"/>
      <c r="C10" s="7">
        <f>C4-C9</f>
        <v>1528680</v>
      </c>
      <c r="F10" s="4"/>
      <c r="I10" s="16">
        <f>589000+2700000</f>
        <v>3289000</v>
      </c>
    </row>
    <row r="11" spans="1:9" x14ac:dyDescent="0.3">
      <c r="A11" s="2" t="s">
        <v>18</v>
      </c>
      <c r="G11" s="4"/>
    </row>
    <row r="12" spans="1:9" x14ac:dyDescent="0.3">
      <c r="A12" t="s">
        <v>19</v>
      </c>
      <c r="B12" s="4">
        <f>150000+1065000</f>
        <v>1215000</v>
      </c>
    </row>
    <row r="13" spans="1:9" x14ac:dyDescent="0.3">
      <c r="A13" t="s">
        <v>35</v>
      </c>
      <c r="B13" s="4">
        <f>'[1]MAINTENANCE-OFFICE SUPPLIES'!E13</f>
        <v>116900</v>
      </c>
      <c r="F13" s="19"/>
    </row>
    <row r="14" spans="1:9" x14ac:dyDescent="0.3">
      <c r="A14" t="s">
        <v>20</v>
      </c>
      <c r="B14" s="4">
        <f>'[1]MAINTENANCE-OFFICE SUPPLIES'!E22</f>
        <v>90500</v>
      </c>
    </row>
    <row r="15" spans="1:9" x14ac:dyDescent="0.3">
      <c r="A15" t="s">
        <v>40</v>
      </c>
      <c r="E15" s="4"/>
      <c r="F15" s="28"/>
      <c r="G15" s="28"/>
    </row>
    <row r="16" spans="1:9" ht="15" thickBot="1" x14ac:dyDescent="0.35">
      <c r="A16" t="s">
        <v>21</v>
      </c>
      <c r="C16" s="4">
        <f>B12+B13+B14+B15+B16</f>
        <v>1422400</v>
      </c>
    </row>
    <row r="17" spans="1:7" ht="15" thickBot="1" x14ac:dyDescent="0.35">
      <c r="A17" s="5" t="s">
        <v>22</v>
      </c>
      <c r="B17" s="6"/>
      <c r="C17" s="7">
        <f>C10-C16</f>
        <v>106280</v>
      </c>
      <c r="G17" s="28"/>
    </row>
    <row r="18" spans="1:7" x14ac:dyDescent="0.3">
      <c r="G18" s="28"/>
    </row>
    <row r="19" spans="1:7" x14ac:dyDescent="0.3">
      <c r="G19" s="4"/>
    </row>
    <row r="20" spans="1:7" x14ac:dyDescent="0.3">
      <c r="F20" s="28"/>
      <c r="G20" s="28"/>
    </row>
    <row r="21" spans="1:7" x14ac:dyDescent="0.3">
      <c r="A21" t="s">
        <v>36</v>
      </c>
      <c r="C21" s="4">
        <v>88400</v>
      </c>
    </row>
    <row r="22" spans="1:7" x14ac:dyDescent="0.3">
      <c r="A22" t="s">
        <v>37</v>
      </c>
      <c r="C22" s="4">
        <v>6200</v>
      </c>
    </row>
    <row r="23" spans="1:7" x14ac:dyDescent="0.3">
      <c r="A23" t="s">
        <v>49</v>
      </c>
      <c r="G23" s="4"/>
    </row>
    <row r="24" spans="1:7" x14ac:dyDescent="0.3">
      <c r="A24" s="16" t="s">
        <v>45</v>
      </c>
      <c r="C24" s="4">
        <v>66000</v>
      </c>
    </row>
    <row r="25" spans="1:7" x14ac:dyDescent="0.3">
      <c r="A25" s="16"/>
      <c r="C25" s="4">
        <f>C21+C22+C23+C24</f>
        <v>160600</v>
      </c>
    </row>
    <row r="26" spans="1:7" x14ac:dyDescent="0.3">
      <c r="A26" t="s">
        <v>41</v>
      </c>
      <c r="C26" s="4">
        <f>C17+C25</f>
        <v>266880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zoomScale="85" zoomScaleNormal="85" workbookViewId="0">
      <selection activeCell="G23" sqref="G23"/>
    </sheetView>
  </sheetViews>
  <sheetFormatPr defaultRowHeight="14.4" x14ac:dyDescent="0.3"/>
  <cols>
    <col min="1" max="1" width="13.5546875" style="17" customWidth="1"/>
    <col min="2" max="2" width="38.5546875" customWidth="1"/>
    <col min="3" max="3" width="9.109375" customWidth="1"/>
    <col min="4" max="4" width="9.6640625" customWidth="1"/>
    <col min="5" max="6" width="9.109375"/>
  </cols>
  <sheetData>
    <row r="1" spans="1:6" x14ac:dyDescent="0.3">
      <c r="A1" s="22" t="s">
        <v>1</v>
      </c>
      <c r="B1" s="23" t="s">
        <v>12</v>
      </c>
      <c r="C1" s="23"/>
      <c r="D1" s="31" t="s">
        <v>11</v>
      </c>
      <c r="E1" s="22" t="s">
        <v>0</v>
      </c>
    </row>
    <row r="2" spans="1:6" ht="15.6" x14ac:dyDescent="0.3">
      <c r="A2" s="12">
        <v>45477</v>
      </c>
      <c r="B2" s="26" t="s">
        <v>89</v>
      </c>
      <c r="C2" s="26"/>
      <c r="D2" s="24"/>
      <c r="E2" s="24">
        <v>5000</v>
      </c>
      <c r="F2" s="24"/>
    </row>
    <row r="3" spans="1:6" ht="28.8" x14ac:dyDescent="0.3">
      <c r="A3" s="12" t="s">
        <v>91</v>
      </c>
      <c r="B3" s="26" t="s">
        <v>92</v>
      </c>
      <c r="C3" s="26"/>
      <c r="D3" s="24"/>
      <c r="E3" s="24">
        <v>20700</v>
      </c>
      <c r="F3" s="24"/>
    </row>
    <row r="4" spans="1:6" ht="15.6" x14ac:dyDescent="0.3">
      <c r="A4" s="12" t="s">
        <v>91</v>
      </c>
      <c r="B4" s="26" t="s">
        <v>95</v>
      </c>
      <c r="C4" s="26"/>
      <c r="D4" s="24"/>
      <c r="E4" s="24">
        <v>8000</v>
      </c>
      <c r="F4" s="24"/>
    </row>
    <row r="5" spans="1:6" ht="28.8" x14ac:dyDescent="0.3">
      <c r="A5" s="12" t="s">
        <v>96</v>
      </c>
      <c r="B5" s="26" t="s">
        <v>99</v>
      </c>
      <c r="C5" s="26"/>
      <c r="D5" s="24"/>
      <c r="E5" s="24">
        <v>10700</v>
      </c>
      <c r="F5" s="24"/>
    </row>
    <row r="6" spans="1:6" ht="15.6" x14ac:dyDescent="0.3">
      <c r="A6" s="12" t="s">
        <v>96</v>
      </c>
      <c r="B6" s="26" t="s">
        <v>97</v>
      </c>
      <c r="C6" s="26"/>
      <c r="D6" s="24"/>
      <c r="E6" s="24">
        <v>9000</v>
      </c>
      <c r="F6" s="24"/>
    </row>
    <row r="7" spans="1:6" ht="15.6" x14ac:dyDescent="0.3">
      <c r="A7" s="12" t="s">
        <v>80</v>
      </c>
      <c r="B7" s="26" t="s">
        <v>100</v>
      </c>
      <c r="C7" s="26"/>
      <c r="D7" s="24"/>
      <c r="E7" s="24">
        <v>13500</v>
      </c>
      <c r="F7" s="24"/>
    </row>
    <row r="8" spans="1:6" ht="15.6" x14ac:dyDescent="0.3">
      <c r="A8" s="12" t="s">
        <v>80</v>
      </c>
      <c r="B8" s="26" t="s">
        <v>101</v>
      </c>
      <c r="C8" s="26"/>
      <c r="D8" s="24"/>
      <c r="E8" s="24">
        <v>50000</v>
      </c>
      <c r="F8" s="24"/>
    </row>
    <row r="9" spans="1:6" ht="15.6" x14ac:dyDescent="0.3">
      <c r="A9" s="12"/>
      <c r="B9" s="26"/>
      <c r="C9" s="26"/>
      <c r="D9" s="24"/>
      <c r="E9" s="24"/>
      <c r="F9" s="24"/>
    </row>
    <row r="10" spans="1:6" ht="15.6" x14ac:dyDescent="0.3">
      <c r="A10" s="12"/>
      <c r="B10" s="26"/>
      <c r="C10" s="26"/>
      <c r="D10" s="24"/>
      <c r="E10" s="24"/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x14ac:dyDescent="0.3">
      <c r="A13" s="25"/>
      <c r="B13" s="22" t="s">
        <v>9</v>
      </c>
      <c r="C13" s="22"/>
      <c r="D13" s="31"/>
      <c r="E13" s="22">
        <f>SUM(E2:E12)</f>
        <v>116900</v>
      </c>
    </row>
    <row r="14" spans="1:6" x14ac:dyDescent="0.3">
      <c r="A14" s="18"/>
      <c r="E14" s="32"/>
    </row>
    <row r="15" spans="1:6" x14ac:dyDescent="0.3">
      <c r="A15" s="18"/>
    </row>
    <row r="16" spans="1:6" x14ac:dyDescent="0.3">
      <c r="A16" s="18"/>
    </row>
    <row r="17" spans="1:6" x14ac:dyDescent="0.3">
      <c r="A17" s="18"/>
      <c r="E17" s="33"/>
    </row>
    <row r="18" spans="1:6" ht="15.6" x14ac:dyDescent="0.3">
      <c r="A18" s="12">
        <v>45508</v>
      </c>
      <c r="B18" s="26" t="s">
        <v>86</v>
      </c>
      <c r="C18" s="26"/>
      <c r="D18" s="24"/>
      <c r="E18" s="24">
        <v>38000</v>
      </c>
      <c r="F18" s="24"/>
    </row>
    <row r="19" spans="1:6" ht="15.6" x14ac:dyDescent="0.3">
      <c r="A19" s="12">
        <v>45386</v>
      </c>
      <c r="B19" s="26" t="s">
        <v>87</v>
      </c>
      <c r="C19" s="26"/>
      <c r="D19" s="24"/>
      <c r="E19" s="24">
        <v>12000</v>
      </c>
      <c r="F19" s="24"/>
    </row>
    <row r="20" spans="1:6" ht="15.6" x14ac:dyDescent="0.3">
      <c r="A20" s="12" t="s">
        <v>80</v>
      </c>
      <c r="B20" s="26" t="s">
        <v>86</v>
      </c>
      <c r="C20" s="26"/>
      <c r="D20" s="24"/>
      <c r="E20" s="24">
        <v>40500</v>
      </c>
      <c r="F20" s="24"/>
    </row>
    <row r="21" spans="1:6" ht="15.6" x14ac:dyDescent="0.3">
      <c r="A21" s="12"/>
      <c r="B21" s="26"/>
      <c r="C21" s="26"/>
      <c r="D21" s="34"/>
      <c r="E21" s="24"/>
      <c r="F21" s="30"/>
    </row>
    <row r="22" spans="1:6" x14ac:dyDescent="0.3">
      <c r="A22" s="18"/>
      <c r="E22" s="22">
        <f>SUM(E18:E21)</f>
        <v>90500</v>
      </c>
    </row>
    <row r="23" spans="1:6" x14ac:dyDescent="0.3">
      <c r="E23" s="2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opLeftCell="A6" workbookViewId="0">
      <selection activeCell="C23" sqref="C23:E26"/>
    </sheetView>
  </sheetViews>
  <sheetFormatPr defaultRowHeight="14.4" x14ac:dyDescent="0.3"/>
  <cols>
    <col min="1" max="1" width="13.44140625" style="21" customWidth="1"/>
    <col min="2" max="2" width="28" customWidth="1"/>
    <col min="3" max="3" width="16.88671875" customWidth="1"/>
    <col min="4" max="4" width="10.6640625" customWidth="1"/>
  </cols>
  <sheetData>
    <row r="1" spans="1:6" ht="15.6" x14ac:dyDescent="0.3">
      <c r="A1" s="12">
        <v>45508</v>
      </c>
      <c r="B1" s="26" t="s">
        <v>88</v>
      </c>
      <c r="C1" s="26"/>
      <c r="D1" s="24"/>
      <c r="E1" s="24">
        <v>10000</v>
      </c>
      <c r="F1" s="24"/>
    </row>
    <row r="2" spans="1:6" ht="28.8" x14ac:dyDescent="0.3">
      <c r="A2" s="12">
        <v>45508</v>
      </c>
      <c r="B2" s="26" t="s">
        <v>47</v>
      </c>
      <c r="C2" s="26" t="s">
        <v>64</v>
      </c>
      <c r="D2" s="24"/>
      <c r="E2" s="24">
        <v>400000</v>
      </c>
      <c r="F2" s="24">
        <v>538500</v>
      </c>
    </row>
    <row r="3" spans="1:6" ht="15.6" x14ac:dyDescent="0.3">
      <c r="A3" s="12" t="s">
        <v>69</v>
      </c>
      <c r="B3" s="26" t="s">
        <v>47</v>
      </c>
      <c r="C3" s="26" t="s">
        <v>90</v>
      </c>
      <c r="D3" s="24"/>
      <c r="E3" s="24">
        <v>20250</v>
      </c>
      <c r="F3" s="24"/>
    </row>
    <row r="4" spans="1:6" ht="28.8" x14ac:dyDescent="0.3">
      <c r="A4" s="12" t="s">
        <v>69</v>
      </c>
      <c r="B4" s="26" t="s">
        <v>47</v>
      </c>
      <c r="C4" s="26" t="s">
        <v>64</v>
      </c>
      <c r="D4" s="24">
        <v>745</v>
      </c>
      <c r="E4" s="24">
        <v>25000</v>
      </c>
      <c r="F4" s="24"/>
    </row>
    <row r="5" spans="1:6" ht="28.8" x14ac:dyDescent="0.3">
      <c r="A5" s="12" t="s">
        <v>91</v>
      </c>
      <c r="B5" s="26" t="s">
        <v>93</v>
      </c>
      <c r="C5" s="26"/>
      <c r="D5" s="24"/>
      <c r="E5" s="24">
        <v>43000</v>
      </c>
      <c r="F5" s="24"/>
    </row>
    <row r="6" spans="1:6" ht="28.8" x14ac:dyDescent="0.3">
      <c r="A6" s="12" t="s">
        <v>96</v>
      </c>
      <c r="B6" s="26" t="s">
        <v>47</v>
      </c>
      <c r="C6" s="26" t="s">
        <v>64</v>
      </c>
      <c r="D6" s="24">
        <v>745</v>
      </c>
      <c r="E6" s="24">
        <v>6000</v>
      </c>
      <c r="F6" s="24"/>
    </row>
    <row r="7" spans="1:6" ht="15.6" x14ac:dyDescent="0.3">
      <c r="A7" s="12" t="s">
        <v>96</v>
      </c>
      <c r="B7" s="26" t="s">
        <v>47</v>
      </c>
      <c r="C7" s="26" t="s">
        <v>63</v>
      </c>
      <c r="D7" s="24"/>
      <c r="E7" s="24">
        <v>151000</v>
      </c>
      <c r="F7" s="24"/>
    </row>
    <row r="8" spans="1:6" ht="28.8" x14ac:dyDescent="0.3">
      <c r="A8" s="12" t="s">
        <v>80</v>
      </c>
      <c r="B8" s="26" t="s">
        <v>47</v>
      </c>
      <c r="C8" s="26" t="s">
        <v>48</v>
      </c>
      <c r="D8" s="24">
        <v>2453</v>
      </c>
      <c r="E8" s="24">
        <v>151300</v>
      </c>
      <c r="F8" s="24"/>
    </row>
    <row r="9" spans="1:6" ht="28.8" x14ac:dyDescent="0.3">
      <c r="A9" s="12" t="s">
        <v>80</v>
      </c>
      <c r="B9" s="26" t="s">
        <v>47</v>
      </c>
      <c r="C9" s="26" t="s">
        <v>98</v>
      </c>
      <c r="D9" s="24">
        <v>3148</v>
      </c>
      <c r="E9" s="24">
        <v>264500</v>
      </c>
      <c r="F9" s="24"/>
    </row>
    <row r="10" spans="1:6" ht="15.6" x14ac:dyDescent="0.3">
      <c r="A10" s="12" t="s">
        <v>80</v>
      </c>
      <c r="B10" s="26" t="s">
        <v>47</v>
      </c>
      <c r="C10" s="26"/>
      <c r="D10" s="24"/>
      <c r="E10" s="24">
        <v>31500</v>
      </c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>
        <f>SUM(E1:E11)</f>
        <v>1102550</v>
      </c>
      <c r="F12" s="24"/>
    </row>
    <row r="13" spans="1:6" x14ac:dyDescent="0.3">
      <c r="A13" s="20"/>
      <c r="B13" s="3"/>
    </row>
    <row r="14" spans="1:6" x14ac:dyDescent="0.3">
      <c r="A14" s="20"/>
      <c r="B14" s="3"/>
    </row>
    <row r="15" spans="1:6" ht="15.6" x14ac:dyDescent="0.3">
      <c r="A15" s="12" t="s">
        <v>91</v>
      </c>
      <c r="B15" s="26" t="s">
        <v>94</v>
      </c>
      <c r="C15" s="26"/>
      <c r="D15" s="24"/>
      <c r="E15" s="24">
        <v>2000</v>
      </c>
      <c r="F15" s="24"/>
    </row>
    <row r="16" spans="1:6" ht="15.6" x14ac:dyDescent="0.3">
      <c r="A16" s="12" t="s">
        <v>96</v>
      </c>
      <c r="B16" s="26" t="s">
        <v>21</v>
      </c>
      <c r="C16" s="26"/>
      <c r="D16" s="24"/>
      <c r="E16" s="24">
        <v>12700</v>
      </c>
      <c r="F16" s="24"/>
    </row>
    <row r="17" spans="1:6" ht="15.6" x14ac:dyDescent="0.3">
      <c r="A17" s="12" t="s">
        <v>96</v>
      </c>
      <c r="B17" s="26" t="s">
        <v>94</v>
      </c>
      <c r="C17" s="26"/>
      <c r="D17" s="24"/>
      <c r="E17" s="24">
        <v>5000</v>
      </c>
      <c r="F17" s="24"/>
    </row>
    <row r="18" spans="1:6" x14ac:dyDescent="0.3">
      <c r="E18">
        <f>SUM(E15:E17)</f>
        <v>19700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6"/>
  <sheetViews>
    <sheetView workbookViewId="0">
      <selection activeCell="F14" sqref="F14"/>
    </sheetView>
  </sheetViews>
  <sheetFormatPr defaultRowHeight="14.4" x14ac:dyDescent="0.3"/>
  <cols>
    <col min="1" max="1" width="19" style="17" customWidth="1"/>
    <col min="2" max="2" width="24.44140625" customWidth="1"/>
    <col min="3" max="3" width="10.109375" bestFit="1" customWidth="1"/>
    <col min="6" max="7" width="11.6640625" bestFit="1" customWidth="1"/>
    <col min="8" max="8" width="13.33203125" bestFit="1" customWidth="1"/>
    <col min="9" max="9" width="11.6640625" bestFit="1" customWidth="1"/>
    <col min="10" max="10" width="15.109375" customWidth="1"/>
    <col min="11" max="11" width="11.6640625" bestFit="1" customWidth="1"/>
  </cols>
  <sheetData>
    <row r="2" spans="1:16" ht="15.6" x14ac:dyDescent="0.3">
      <c r="A2" s="1" t="s">
        <v>30</v>
      </c>
      <c r="B2" s="1"/>
      <c r="C2" s="1"/>
      <c r="D2" s="1"/>
      <c r="E2" s="1"/>
      <c r="F2" s="1"/>
      <c r="G2" s="1"/>
    </row>
    <row r="3" spans="1:16" ht="15.6" x14ac:dyDescent="0.3">
      <c r="A3" s="1"/>
      <c r="B3" s="1" t="s">
        <v>31</v>
      </c>
      <c r="C3" s="1"/>
      <c r="D3" s="1"/>
      <c r="E3" s="1"/>
      <c r="F3" s="1">
        <f>REVENUE!H52</f>
        <v>864450</v>
      </c>
      <c r="G3" s="1"/>
    </row>
    <row r="4" spans="1:16" ht="15.6" x14ac:dyDescent="0.3">
      <c r="A4" s="1"/>
      <c r="B4" s="1" t="s">
        <v>18</v>
      </c>
      <c r="C4" s="1"/>
      <c r="D4" s="1"/>
      <c r="E4" s="1"/>
      <c r="F4" s="1">
        <f>REVENUE!H53</f>
        <v>1329650</v>
      </c>
      <c r="G4" s="1"/>
    </row>
    <row r="5" spans="1:16" ht="15.6" x14ac:dyDescent="0.3">
      <c r="A5" s="1"/>
      <c r="B5" s="1" t="s">
        <v>9</v>
      </c>
      <c r="C5" s="1"/>
      <c r="D5" s="1"/>
      <c r="E5" s="1"/>
      <c r="F5" s="1">
        <f>F3+F4</f>
        <v>2194100</v>
      </c>
      <c r="G5" s="1"/>
    </row>
    <row r="6" spans="1:16" ht="16.2" thickBot="1" x14ac:dyDescent="0.35">
      <c r="A6" s="1"/>
      <c r="B6" s="1" t="s">
        <v>32</v>
      </c>
      <c r="C6" s="1"/>
      <c r="D6" s="1"/>
      <c r="E6" s="1"/>
      <c r="F6" s="1">
        <f>REVENUE!H55</f>
        <v>67845</v>
      </c>
      <c r="G6" s="1"/>
    </row>
    <row r="7" spans="1:16" ht="16.2" thickBot="1" x14ac:dyDescent="0.35">
      <c r="A7" s="1"/>
      <c r="B7" s="1" t="s">
        <v>33</v>
      </c>
      <c r="C7" s="1"/>
      <c r="D7" s="1"/>
      <c r="E7" s="1"/>
      <c r="F7" s="15">
        <f>F5+F6</f>
        <v>2261945</v>
      </c>
      <c r="G7" s="1"/>
    </row>
    <row r="8" spans="1:16" ht="15.6" x14ac:dyDescent="0.3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</row>
    <row r="9" spans="1:16" ht="15.6" x14ac:dyDescent="0.3">
      <c r="K9" s="1"/>
      <c r="L9" s="1"/>
      <c r="M9" s="1"/>
      <c r="N9" s="1"/>
      <c r="O9" s="1"/>
      <c r="P9" s="1"/>
    </row>
    <row r="10" spans="1:16" ht="15.6" x14ac:dyDescent="0.3">
      <c r="A10" s="17" t="s">
        <v>105</v>
      </c>
      <c r="H10" s="28"/>
      <c r="K10" s="1"/>
      <c r="L10" s="1"/>
      <c r="M10" s="1"/>
      <c r="N10" s="1"/>
      <c r="O10" s="1"/>
      <c r="P10" s="1"/>
    </row>
    <row r="11" spans="1:16" ht="15.6" x14ac:dyDescent="0.3">
      <c r="K11" s="1"/>
      <c r="L11" s="1"/>
      <c r="M11" s="1"/>
      <c r="N11" s="1"/>
      <c r="O11" s="1"/>
      <c r="P11" s="1"/>
    </row>
    <row r="12" spans="1:16" ht="15.6" x14ac:dyDescent="0.3">
      <c r="B12" t="s">
        <v>50</v>
      </c>
      <c r="F12">
        <f>REVENUE!M35</f>
        <v>2100600</v>
      </c>
      <c r="K12" s="1"/>
      <c r="L12" s="1"/>
      <c r="M12" s="1"/>
      <c r="N12" s="1"/>
      <c r="O12" s="1"/>
      <c r="P12" s="1"/>
    </row>
    <row r="13" spans="1:16" ht="16.2" thickBot="1" x14ac:dyDescent="0.35">
      <c r="B13" t="s">
        <v>51</v>
      </c>
      <c r="F13">
        <f>REVENUE!H46</f>
        <v>161345</v>
      </c>
      <c r="K13" s="1"/>
      <c r="L13" s="1"/>
      <c r="M13" s="1"/>
      <c r="N13" s="1"/>
      <c r="O13" s="1"/>
      <c r="P13" s="1"/>
    </row>
    <row r="14" spans="1:16" ht="15" thickBot="1" x14ac:dyDescent="0.35">
      <c r="B14" t="s">
        <v>9</v>
      </c>
      <c r="F14" s="35">
        <f>F12+F13</f>
        <v>2261945</v>
      </c>
    </row>
    <row r="15" spans="1:16" x14ac:dyDescent="0.3">
      <c r="H15" s="28"/>
    </row>
    <row r="16" spans="1:16" x14ac:dyDescent="0.3">
      <c r="H16" s="28"/>
    </row>
    <row r="17" spans="1:11" ht="15.6" x14ac:dyDescent="0.3">
      <c r="A17" s="36" t="s">
        <v>52</v>
      </c>
      <c r="H17" s="4"/>
      <c r="J17" s="1"/>
    </row>
    <row r="18" spans="1:11" x14ac:dyDescent="0.3">
      <c r="A18" s="17" t="s">
        <v>106</v>
      </c>
      <c r="G18" s="4"/>
      <c r="I18" s="4"/>
      <c r="K18" s="4"/>
    </row>
    <row r="19" spans="1:11" x14ac:dyDescent="0.3">
      <c r="A19" s="17" t="s">
        <v>107</v>
      </c>
      <c r="G19" s="4"/>
      <c r="H19" s="4"/>
    </row>
    <row r="20" spans="1:11" x14ac:dyDescent="0.3">
      <c r="A20" s="17" t="s">
        <v>108</v>
      </c>
      <c r="G20" s="4"/>
      <c r="H20" s="4"/>
    </row>
    <row r="21" spans="1:11" x14ac:dyDescent="0.3">
      <c r="A21" s="17" t="s">
        <v>110</v>
      </c>
      <c r="H21" s="4"/>
    </row>
    <row r="22" spans="1:11" x14ac:dyDescent="0.3">
      <c r="A22" s="17" t="s">
        <v>109</v>
      </c>
    </row>
    <row r="23" spans="1:11" x14ac:dyDescent="0.3">
      <c r="H23" s="4"/>
    </row>
    <row r="26" spans="1:11" x14ac:dyDescent="0.3">
      <c r="F2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topLeftCell="A11" workbookViewId="0">
      <selection activeCell="G25" sqref="G25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5" width="13.33203125" bestFit="1" customWidth="1"/>
    <col min="6" max="6" width="11.6640625" customWidth="1"/>
    <col min="7" max="7" width="23" customWidth="1"/>
    <col min="9" max="9" width="13.33203125" bestFit="1" customWidth="1"/>
  </cols>
  <sheetData>
    <row r="2" spans="1:9" ht="18" x14ac:dyDescent="0.35">
      <c r="A2" s="9" t="s">
        <v>102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REVENUE!E35</f>
        <v>175500</v>
      </c>
    </row>
    <row r="5" spans="1:9" x14ac:dyDescent="0.3">
      <c r="A5" t="s">
        <v>65</v>
      </c>
      <c r="B5" s="4">
        <v>282000</v>
      </c>
      <c r="C5" s="8"/>
      <c r="G5" t="s">
        <v>53</v>
      </c>
      <c r="H5">
        <v>249000</v>
      </c>
    </row>
    <row r="6" spans="1:9" x14ac:dyDescent="0.3">
      <c r="A6" t="s">
        <v>28</v>
      </c>
      <c r="B6" s="4">
        <v>61500</v>
      </c>
      <c r="G6" t="s">
        <v>54</v>
      </c>
      <c r="H6">
        <v>280000</v>
      </c>
    </row>
    <row r="7" spans="1:9" x14ac:dyDescent="0.3">
      <c r="A7" t="s">
        <v>15</v>
      </c>
      <c r="F7" s="4"/>
      <c r="G7" t="s">
        <v>55</v>
      </c>
      <c r="H7">
        <v>76010</v>
      </c>
    </row>
    <row r="8" spans="1:9" x14ac:dyDescent="0.3">
      <c r="A8" t="s">
        <v>66</v>
      </c>
      <c r="B8" s="4">
        <v>291000</v>
      </c>
      <c r="F8" s="28"/>
      <c r="G8" s="4" t="s">
        <v>56</v>
      </c>
      <c r="H8">
        <f>SUM(H5:H7)</f>
        <v>605010</v>
      </c>
    </row>
    <row r="9" spans="1:9" ht="15" thickBot="1" x14ac:dyDescent="0.35">
      <c r="A9" t="s">
        <v>16</v>
      </c>
      <c r="C9" s="4">
        <f>B5+B6+B7-B8</f>
        <v>52500</v>
      </c>
      <c r="E9" s="28"/>
      <c r="F9" s="28"/>
      <c r="G9" s="4"/>
    </row>
    <row r="10" spans="1:9" ht="15" thickBot="1" x14ac:dyDescent="0.35">
      <c r="A10" s="5" t="s">
        <v>17</v>
      </c>
      <c r="B10" s="6"/>
      <c r="C10" s="7">
        <f>C4-C9</f>
        <v>123000</v>
      </c>
      <c r="F10" s="4"/>
      <c r="G10" t="s">
        <v>57</v>
      </c>
      <c r="I10" s="28">
        <v>337500</v>
      </c>
    </row>
    <row r="11" spans="1:9" x14ac:dyDescent="0.3">
      <c r="A11" s="2" t="s">
        <v>18</v>
      </c>
      <c r="F11" s="28"/>
      <c r="G11" t="s">
        <v>58</v>
      </c>
      <c r="I11">
        <v>261500</v>
      </c>
    </row>
    <row r="12" spans="1:9" x14ac:dyDescent="0.3">
      <c r="A12" t="s">
        <v>19</v>
      </c>
      <c r="B12" s="4">
        <v>35000</v>
      </c>
      <c r="G12" s="4" t="s">
        <v>59</v>
      </c>
      <c r="I12" s="28">
        <f>SUM(I10:I11)</f>
        <v>599000</v>
      </c>
    </row>
    <row r="13" spans="1:9" x14ac:dyDescent="0.3">
      <c r="A13" t="s">
        <v>35</v>
      </c>
      <c r="B13" s="4">
        <v>24000</v>
      </c>
      <c r="F13" s="19"/>
      <c r="G13" s="4"/>
      <c r="I13" s="28"/>
    </row>
    <row r="14" spans="1:9" x14ac:dyDescent="0.3">
      <c r="A14" t="s">
        <v>20</v>
      </c>
      <c r="B14" s="4">
        <v>22600</v>
      </c>
      <c r="G14" s="19" t="s">
        <v>60</v>
      </c>
      <c r="H14">
        <v>210000</v>
      </c>
    </row>
    <row r="15" spans="1:9" x14ac:dyDescent="0.3">
      <c r="A15" t="s">
        <v>40</v>
      </c>
      <c r="E15" s="4"/>
      <c r="G15" t="s">
        <v>61</v>
      </c>
      <c r="H15">
        <f>SUM(H8:H14)</f>
        <v>815010</v>
      </c>
    </row>
    <row r="16" spans="1:9" ht="15" thickBot="1" x14ac:dyDescent="0.35">
      <c r="A16" t="s">
        <v>21</v>
      </c>
      <c r="C16" s="4">
        <f>B12+B13+B14+B15+B16</f>
        <v>81600</v>
      </c>
    </row>
    <row r="17" spans="1:8" ht="15" thickBot="1" x14ac:dyDescent="0.35">
      <c r="A17" s="5" t="s">
        <v>22</v>
      </c>
      <c r="B17" s="6"/>
      <c r="C17" s="7">
        <f>C10-C16</f>
        <v>41400</v>
      </c>
      <c r="G17" t="s">
        <v>62</v>
      </c>
      <c r="H17">
        <v>599000</v>
      </c>
    </row>
    <row r="18" spans="1:8" x14ac:dyDescent="0.3">
      <c r="G18" s="28" t="s">
        <v>26</v>
      </c>
      <c r="H18">
        <f>H15-H17</f>
        <v>216010</v>
      </c>
    </row>
    <row r="20" spans="1:8" x14ac:dyDescent="0.3">
      <c r="F20" s="28"/>
      <c r="G20" s="28"/>
    </row>
    <row r="21" spans="1:8" x14ac:dyDescent="0.3">
      <c r="A21" t="s">
        <v>36</v>
      </c>
      <c r="G21" s="28"/>
    </row>
    <row r="22" spans="1:8" x14ac:dyDescent="0.3">
      <c r="A22" t="s">
        <v>37</v>
      </c>
    </row>
    <row r="23" spans="1:8" x14ac:dyDescent="0.3">
      <c r="A23" t="s">
        <v>46</v>
      </c>
      <c r="G23" t="s">
        <v>111</v>
      </c>
      <c r="H23">
        <v>314110</v>
      </c>
    </row>
    <row r="24" spans="1:8" x14ac:dyDescent="0.3">
      <c r="A24" s="16" t="s">
        <v>45</v>
      </c>
      <c r="G24" t="s">
        <v>112</v>
      </c>
      <c r="H24">
        <v>41400</v>
      </c>
    </row>
    <row r="25" spans="1:8" x14ac:dyDescent="0.3">
      <c r="A25" s="16"/>
      <c r="C25" s="4">
        <f>C21+C22+C23+C24</f>
        <v>0</v>
      </c>
      <c r="H25">
        <f>H23-H24</f>
        <v>272710</v>
      </c>
    </row>
    <row r="26" spans="1:8" x14ac:dyDescent="0.3">
      <c r="A26" t="s">
        <v>41</v>
      </c>
      <c r="C26" s="4">
        <f>C17+C25</f>
        <v>41400</v>
      </c>
      <c r="G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</vt:lpstr>
      <vt:lpstr>EXPENSES</vt:lpstr>
      <vt:lpstr>FIN. REPORT</vt:lpstr>
      <vt:lpstr>MAINTENANCE-OFFICE SUPPLIES</vt:lpstr>
      <vt:lpstr>MEDICATIONS</vt:lpstr>
      <vt:lpstr>SUMMARY</vt:lpstr>
      <vt:lpstr>EZINNE LAB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cp:lastPrinted>2023-12-07T09:31:47Z</cp:lastPrinted>
  <dcterms:created xsi:type="dcterms:W3CDTF">2021-07-05T08:45:26Z</dcterms:created>
  <dcterms:modified xsi:type="dcterms:W3CDTF">2026-08-29T15:37:34Z</dcterms:modified>
</cp:coreProperties>
</file>